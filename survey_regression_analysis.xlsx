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sn00387_surrey_ac_uk/Documents/Documents/Dissertation Files For Submission/Analytical - 6428678/"/>
    </mc:Choice>
  </mc:AlternateContent>
  <xr:revisionPtr revIDLastSave="0" documentId="8_{F62C6B2A-F158-416E-8B76-351C9DC3F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 Dataset" sheetId="35" r:id="rId1"/>
    <sheet name="Country Group" sheetId="41" r:id="rId2"/>
    <sheet name="New Clean" sheetId="37" r:id="rId3"/>
    <sheet name="Demographics" sheetId="7" r:id="rId4"/>
    <sheet name="Likert Visual" sheetId="38" r:id="rId5"/>
    <sheet name="Dataset for Regression" sheetId="42" r:id="rId6"/>
  </sheets>
  <definedNames>
    <definedName name="ExternalData_1" localSheetId="2" hidden="1">'New Clean'!$A$1:$BS$31</definedName>
    <definedName name="ExternalData_1" localSheetId="0" hidden="1">'Original Dataset'!$A$1:$BI$31</definedName>
    <definedName name="percent">Demographics!$J$3</definedName>
    <definedName name="Responses">Demographics!$J$2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7" l="1"/>
  <c r="L39" i="7"/>
  <c r="L38" i="7"/>
  <c r="L37" i="7"/>
  <c r="L36" i="7"/>
  <c r="L35" i="7"/>
  <c r="N49" i="37"/>
  <c r="M49" i="37"/>
  <c r="L49" i="37"/>
  <c r="K49" i="37"/>
  <c r="J49" i="37"/>
  <c r="N48" i="37"/>
  <c r="M48" i="37"/>
  <c r="L48" i="37"/>
  <c r="K48" i="37"/>
  <c r="J48" i="37"/>
  <c r="N47" i="37"/>
  <c r="M47" i="37"/>
  <c r="L47" i="37"/>
  <c r="K47" i="37"/>
  <c r="J47" i="37"/>
  <c r="N46" i="37"/>
  <c r="M46" i="37"/>
  <c r="L46" i="37"/>
  <c r="K46" i="37"/>
  <c r="J46" i="37"/>
  <c r="N45" i="37"/>
  <c r="M45" i="37"/>
  <c r="L45" i="37"/>
  <c r="K45" i="37"/>
  <c r="J45" i="37"/>
  <c r="J44" i="37"/>
  <c r="N44" i="37"/>
  <c r="M44" i="37"/>
  <c r="L44" i="37"/>
  <c r="K44" i="37"/>
  <c r="N43" i="37"/>
  <c r="M43" i="37"/>
  <c r="L43" i="37"/>
  <c r="J43" i="37"/>
  <c r="K43" i="37"/>
  <c r="N42" i="37"/>
  <c r="M42" i="37"/>
  <c r="L42" i="37"/>
  <c r="K42" i="37"/>
  <c r="J42" i="37"/>
  <c r="N41" i="37"/>
  <c r="M41" i="37"/>
  <c r="L41" i="37"/>
  <c r="K41" i="37"/>
  <c r="J41" i="37"/>
  <c r="N40" i="37"/>
  <c r="M40" i="37"/>
  <c r="L40" i="37"/>
  <c r="K40" i="37"/>
  <c r="J40" i="37"/>
  <c r="F49" i="37"/>
  <c r="E49" i="37"/>
  <c r="D49" i="37"/>
  <c r="C49" i="37"/>
  <c r="F48" i="37"/>
  <c r="E48" i="37"/>
  <c r="D48" i="37"/>
  <c r="C48" i="37"/>
  <c r="F47" i="37"/>
  <c r="E47" i="37"/>
  <c r="D47" i="37"/>
  <c r="C47" i="37"/>
  <c r="F46" i="37"/>
  <c r="E46" i="37"/>
  <c r="D46" i="37"/>
  <c r="C46" i="37"/>
  <c r="F45" i="37"/>
  <c r="E45" i="37"/>
  <c r="C45" i="37"/>
  <c r="D45" i="37"/>
  <c r="F44" i="37"/>
  <c r="E44" i="37"/>
  <c r="C44" i="37"/>
  <c r="D44" i="37"/>
  <c r="F43" i="37"/>
  <c r="E43" i="37"/>
  <c r="D43" i="37"/>
  <c r="C43" i="37"/>
  <c r="F42" i="37"/>
  <c r="E42" i="37"/>
  <c r="D42" i="37"/>
  <c r="C42" i="37"/>
  <c r="F41" i="37"/>
  <c r="E41" i="37"/>
  <c r="D41" i="37"/>
  <c r="C41" i="37"/>
  <c r="F40" i="37"/>
  <c r="E40" i="37"/>
  <c r="D40" i="37"/>
  <c r="C40" i="37"/>
  <c r="E38" i="7"/>
  <c r="E39" i="7"/>
  <c r="E3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14D01-E590-4746-95D7-25AB5247B7D4}" keepAlive="1" name="Query - New Clean" description="Connection to the 'New Clean' query in the workbook." type="5" refreshedVersion="8" background="1" saveData="1">
    <dbPr connection="Provider=Microsoft.Mashup.OleDb.1;Data Source=$Workbook$;Location=&quot;New Clean&quot;;Extended Properties=&quot;&quot;" command="SELECT * FROM [New Clean]"/>
  </connection>
  <connection id="2" xr16:uid="{C0BB4A3E-740B-4B24-AAE7-4921CD459B2E}" keepAlive="1" name="Query - Original Dataset" description="Connection to the 'Original Dataset' query in the workbook." type="5" refreshedVersion="0" background="1" saveData="1">
    <dbPr connection="Provider=Microsoft.Mashup.OleDb.1;Data Source=$Workbook$;Location=&quot;Original Dataset&quot;;Extended Properties=&quot;&quot;" command="SELECT * FROM [Original Dataset]"/>
  </connection>
</connections>
</file>

<file path=xl/sharedStrings.xml><?xml version="1.0" encoding="utf-8"?>
<sst xmlns="http://schemas.openxmlformats.org/spreadsheetml/2006/main" count="2310" uniqueCount="223">
  <si>
    <t>Id</t>
  </si>
  <si>
    <t>Start time</t>
  </si>
  <si>
    <t>Completion time</t>
  </si>
  <si>
    <t>Email</t>
  </si>
  <si>
    <t>Name</t>
  </si>
  <si>
    <t xml:space="preserve">What is your age?
</t>
  </si>
  <si>
    <t>What is your gender?</t>
  </si>
  <si>
    <t>What is the highest level of education that you have completed?</t>
  </si>
  <si>
    <t xml:space="preserve">What is your employment status?
</t>
  </si>
  <si>
    <t xml:space="preserve">What is your marital status?
</t>
  </si>
  <si>
    <t xml:space="preserve">What is your country of residence?
</t>
  </si>
  <si>
    <t xml:space="preserve">What is your ethnic group?
</t>
  </si>
  <si>
    <t>Which bank or banks do you currently use (please select all that apply)</t>
  </si>
  <si>
    <t>What is your primary language?</t>
  </si>
  <si>
    <t>Usage 
.I frequently use the banks chatbot to get support. </t>
  </si>
  <si>
    <t>Usage 
.Using the chatbot has become a natural part of my banking routine.</t>
  </si>
  <si>
    <t>Usage 
.It is easy for me to start a conversation with the chatbot whenever I need help.</t>
  </si>
  <si>
    <t>Usage 
.I have no difficulty remembering how to use the chatbot features. </t>
  </si>
  <si>
    <t>Usage 
.I intend to continue using the chatbot in future.</t>
  </si>
  <si>
    <t>Satisfaction.I am satisfied with the bank’s  chatbot service.</t>
  </si>
  <si>
    <t>Satisfaction.The chatbot did a good job.</t>
  </si>
  <si>
    <t>Satisfaction.The chatbot did what I expected.</t>
  </si>
  <si>
    <t>Satisfaction.I am happy with the experience that I had with the chatbot. </t>
  </si>
  <si>
    <t>Trust 
.The chatbot provided accurate information.</t>
  </si>
  <si>
    <t>Trust 
.I trust the chatbot to protect my personal and financial information. </t>
  </si>
  <si>
    <t>Trust 
.I believe the chatbot acts in my best interests.</t>
  </si>
  <si>
    <t>Trust 
.I believe the chatbot provides honest and transparent information.</t>
  </si>
  <si>
    <t>Trust 
.I am more comfortable sharing information with the chatbot than with a human representative.</t>
  </si>
  <si>
    <t>Ease of Use.The chatbot was easy to use and navigate. </t>
  </si>
  <si>
    <t>Ease of Use.The chatbot's instructions were clear and easy to follow.</t>
  </si>
  <si>
    <t>Ease of Use.The chatbot saved me time compared to other ways of getting support.</t>
  </si>
  <si>
    <t>Ease of Use.I rarely felt frustrated while using the chatbot.</t>
  </si>
  <si>
    <t>Ease of Use.The chatbot worked as expected without errors.</t>
  </si>
  <si>
    <t>Helpfulness 
.The   chatbot provided helpful responses to my queries.</t>
  </si>
  <si>
    <t>Helpfulness 
.The chatbot recommended services or products that were relevant to my needs. </t>
  </si>
  <si>
    <t>Helpfulness 
.The chatbot provided me with enough information to proceed confidently.</t>
  </si>
  <si>
    <t>Helpfulness 
.The chatbot saved me from needing to use other support channels.</t>
  </si>
  <si>
    <t>Helpfulness 
.I preferred using the chatbot to get help instead of calling or visiting the bank.</t>
  </si>
  <si>
    <t>Convenience .I found using the chatbot more convenient than speaking with a human customer service representative.</t>
  </si>
  <si>
    <t>Convenience .The chatbot was available when I needed assistance.</t>
  </si>
  <si>
    <t>Convenience .I could use the chatbot at a time that was convenient for me.</t>
  </si>
  <si>
    <t>Convenience .I didn't have to repeat myself multiple times when using the chatbot.</t>
  </si>
  <si>
    <t>Response speed .On average, the chatbot typically responds quickly to my questions. </t>
  </si>
  <si>
    <t>Response speed .The chatbot provided answers without unnecessary delays.</t>
  </si>
  <si>
    <t>Response speed .I did not experience long wait times when using the chatbot.</t>
  </si>
  <si>
    <t>Response speed .I was able to get help immediately through the chatbot.</t>
  </si>
  <si>
    <t>Response accuracy.The chatbot responses were accurate and relevant to my questions. </t>
  </si>
  <si>
    <t>Response accuracy.The chatbot stayed on topic during the conversation.</t>
  </si>
  <si>
    <t>Response accuracy.The chatbot's responses were relevant to my questions.</t>
  </si>
  <si>
    <t>Response accuracy.The chatbot often gave incorrect or misleading answers.</t>
  </si>
  <si>
    <t>Response accuracy.The chatbot was as accurate as a human customer service representative.</t>
  </si>
  <si>
    <t>Empathy.The chatbot recognised my emotions and concerns.</t>
  </si>
  <si>
    <t>Empathy.The chatbot responded in a caring and considerate way.</t>
  </si>
  <si>
    <t>Empathy.The chatbot understood my situation well. </t>
  </si>
  <si>
    <t>Empathy.The chatbot felt cold and impersonal.</t>
  </si>
  <si>
    <t>Empathy.The chatbot ignored my feelings and focused only on tasks.</t>
  </si>
  <si>
    <t>Personalisation.The   chatbot asked me personalised questions to understand my needs better.</t>
  </si>
  <si>
    <t>Personalisation.The   chatbot adapted its tone to adjust its communication style.</t>
  </si>
  <si>
    <t>Personalisation.The   chatbot remembered my previous responses or preferences during the   conversation.</t>
  </si>
  <si>
    <t>Personalisation.The chatbot made my interaction with the bank feel more personal.</t>
  </si>
  <si>
    <t>Personalisation.The chatbot allowed me to communicate in my preferred language. </t>
  </si>
  <si>
    <t>anonymous</t>
  </si>
  <si>
    <t>55-64</t>
  </si>
  <si>
    <t>Woman</t>
  </si>
  <si>
    <t xml:space="preserve">High school diploma or equivalent </t>
  </si>
  <si>
    <t>Prefer not to say</t>
  </si>
  <si>
    <t>England</t>
  </si>
  <si>
    <t>White (e.g. British, Irish, other White background)</t>
  </si>
  <si>
    <t>Agree</t>
  </si>
  <si>
    <t>Strongly Disagree</t>
  </si>
  <si>
    <t>Strongly Agree</t>
  </si>
  <si>
    <t>Neutral</t>
  </si>
  <si>
    <t>Strongly agree</t>
  </si>
  <si>
    <t>Strongly Disagree </t>
  </si>
  <si>
    <t>Disagree</t>
  </si>
  <si>
    <t>25-34</t>
  </si>
  <si>
    <t>Master’s degree</t>
  </si>
  <si>
    <t>Employed full-time</t>
  </si>
  <si>
    <t>In a relationship</t>
  </si>
  <si>
    <t>Scotland</t>
  </si>
  <si>
    <t>Bachelor’s degree</t>
  </si>
  <si>
    <t>Student</t>
  </si>
  <si>
    <t>Single</t>
  </si>
  <si>
    <t>Mixed or Multiple ethnic groups (e.g. White and Black Caribbean, White and Asian)</t>
  </si>
  <si>
    <t>18-24</t>
  </si>
  <si>
    <t>Unemployed</t>
  </si>
  <si>
    <t>35-44</t>
  </si>
  <si>
    <t>Man</t>
  </si>
  <si>
    <t>Doctoral or professional degree</t>
  </si>
  <si>
    <t>Asian or Asian British (e.g. Indian, Pakistani, Chinese, other Asian background)</t>
  </si>
  <si>
    <t>Lloyds Bank;</t>
  </si>
  <si>
    <t>English</t>
  </si>
  <si>
    <t>Employed part-time</t>
  </si>
  <si>
    <t>Married</t>
  </si>
  <si>
    <t>Monzo;Other;</t>
  </si>
  <si>
    <t>45-54</t>
  </si>
  <si>
    <t>Other;</t>
  </si>
  <si>
    <t>Post-secondary qualification</t>
  </si>
  <si>
    <t>Self-employed</t>
  </si>
  <si>
    <t xml:space="preserve">English </t>
  </si>
  <si>
    <t>Outside the UK</t>
  </si>
  <si>
    <t>Monzo;</t>
  </si>
  <si>
    <t>Natwest;Other;</t>
  </si>
  <si>
    <t>Turkish</t>
  </si>
  <si>
    <t>Divorced</t>
  </si>
  <si>
    <t>Lloyds Bank;Monzo;Other;</t>
  </si>
  <si>
    <t>Black, Black British, Caribbean or African</t>
  </si>
  <si>
    <t>Natwest;</t>
  </si>
  <si>
    <t>Natwest;Starling Bank;</t>
  </si>
  <si>
    <t>Prefer not to say </t>
  </si>
  <si>
    <t>Other </t>
  </si>
  <si>
    <t>Monzo;Starling Bank;Other;</t>
  </si>
  <si>
    <t>Lloyds Bank;Other;</t>
  </si>
  <si>
    <t>Lloyds Bank;Monzo;</t>
  </si>
  <si>
    <t>Row Labels</t>
  </si>
  <si>
    <t>Grand Total</t>
  </si>
  <si>
    <t xml:space="preserve">Variable </t>
  </si>
  <si>
    <t>Category</t>
  </si>
  <si>
    <t>Frequency (n)</t>
  </si>
  <si>
    <t>Percentage</t>
  </si>
  <si>
    <t>Percentage (%)</t>
  </si>
  <si>
    <t>Table 1. Respondent Demographics  (n = 30)</t>
  </si>
  <si>
    <t>Age</t>
  </si>
  <si>
    <t xml:space="preserve">Gender </t>
  </si>
  <si>
    <t xml:space="preserve">Ethnicity </t>
  </si>
  <si>
    <t>Primary Language</t>
  </si>
  <si>
    <t>Marital Status</t>
  </si>
  <si>
    <t xml:space="preserve">Male </t>
  </si>
  <si>
    <t>Female</t>
  </si>
  <si>
    <t xml:space="preserve">White </t>
  </si>
  <si>
    <t xml:space="preserve">Mixed </t>
  </si>
  <si>
    <t xml:space="preserve">Asian </t>
  </si>
  <si>
    <t xml:space="preserve">Black </t>
  </si>
  <si>
    <t xml:space="preserve">Other </t>
  </si>
  <si>
    <t xml:space="preserve">Full-time </t>
  </si>
  <si>
    <t>Part-time</t>
  </si>
  <si>
    <t>Country of Residence</t>
  </si>
  <si>
    <t>Employment Status</t>
  </si>
  <si>
    <t>In a Relationship</t>
  </si>
  <si>
    <t xml:space="preserve">Divorced </t>
  </si>
  <si>
    <t xml:space="preserve">England </t>
  </si>
  <si>
    <t xml:space="preserve">Natwest </t>
  </si>
  <si>
    <t>Lloyds Bank</t>
  </si>
  <si>
    <t>Monzo</t>
  </si>
  <si>
    <t>Starling Bank</t>
  </si>
  <si>
    <t>Education</t>
  </si>
  <si>
    <t>Secondary school/high school diploma (or equivalent)</t>
  </si>
  <si>
    <t>Post-seconday qualification</t>
  </si>
  <si>
    <t>Bachelor's degree</t>
  </si>
  <si>
    <t>Master's degree</t>
  </si>
  <si>
    <t>Did not answer</t>
  </si>
  <si>
    <t>Total Responses</t>
  </si>
  <si>
    <t>Mean</t>
  </si>
  <si>
    <t>S.d.</t>
  </si>
  <si>
    <t>Max</t>
  </si>
  <si>
    <t>Min</t>
  </si>
  <si>
    <t xml:space="preserve">Usage </t>
  </si>
  <si>
    <t>Satisfaction</t>
  </si>
  <si>
    <t>Trust</t>
  </si>
  <si>
    <t>Ease of Use</t>
  </si>
  <si>
    <t>Helpfulness</t>
  </si>
  <si>
    <t>Convenience</t>
  </si>
  <si>
    <t>Speed</t>
  </si>
  <si>
    <t>Accuracy</t>
  </si>
  <si>
    <t>Empathy</t>
  </si>
  <si>
    <t>Personalisation</t>
  </si>
  <si>
    <t>Item</t>
  </si>
  <si>
    <t xml:space="preserve"> Strongly Agree</t>
  </si>
  <si>
    <t xml:space="preserve"> Agree</t>
  </si>
  <si>
    <t xml:space="preserve"> Disagree</t>
  </si>
  <si>
    <t xml:space="preserve"> Strongly Disagree</t>
  </si>
  <si>
    <t>Usage</t>
  </si>
  <si>
    <t>Table 2. Descriptive Statistics of Survey Responses</t>
  </si>
  <si>
    <t xml:space="preserve">Table 3.  Likert-Scale Responses Across Survey Items </t>
  </si>
  <si>
    <t xml:space="preserve"> Neutral</t>
  </si>
  <si>
    <t>Empathy_Cold_R</t>
  </si>
  <si>
    <t>Empathy_Ignore_R</t>
  </si>
  <si>
    <t>Acurracy_Incorrect_R</t>
  </si>
  <si>
    <t>Usage_Avg</t>
  </si>
  <si>
    <t>Satisfaction_Avg</t>
  </si>
  <si>
    <t>Trust_Avg</t>
  </si>
  <si>
    <t>Ease_of_Use_Avg</t>
  </si>
  <si>
    <t>Helpfulness_Avg</t>
  </si>
  <si>
    <t>Convenience_Avg</t>
  </si>
  <si>
    <t>Speed_Avg</t>
  </si>
  <si>
    <t>Accuracy_Avg</t>
  </si>
  <si>
    <t>Empathy_Avg</t>
  </si>
  <si>
    <t>Personalisation_Avg</t>
  </si>
  <si>
    <t>Engagement_Avg</t>
  </si>
  <si>
    <t>Engagement</t>
  </si>
  <si>
    <t>SUMMARY OUTPUT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</si>
  <si>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</si>
  <si>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</si>
  <si>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</si>
  <si>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</si>
  <si>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</si>
  <si>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</si>
  <si>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</si>
  <si>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</si>
  <si>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</si>
  <si>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</si>
  <si>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</si>
  <si>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</si>
  <si>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</si>
  <si>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</si>
  <si>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</si>
  <si>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</si>
  <si>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</si>
  <si>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</si>
  <si>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</si>
  <si>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</si>
  <si>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</si>
  <si>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</si>
  <si>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</si>
  <si>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Engagement_Avg</t>
  </si>
  <si>
    <t>Residuals</t>
  </si>
  <si>
    <t>Predictor</t>
  </si>
  <si>
    <t>Table 1. Regression Statistics</t>
  </si>
  <si>
    <t>Table 2. ANOVA</t>
  </si>
  <si>
    <t xml:space="preserve">Table 3. Multiple Regression Analysis </t>
  </si>
  <si>
    <t>Count</t>
  </si>
  <si>
    <t xml:space="preserve">Type of Bank Used </t>
  </si>
  <si>
    <t xml:space="preserve">Correlation Matrix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</si>
</sst>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/>
    <xf numFmtId="2" fontId="0" fillId="0" borderId="0" xfId="0" applyNumberFormat="1"/>
    <xf numFmtId="0" fontId="2" fillId="0" borderId="0" xfId="0" applyFont="1" applyAlignment="1">
      <alignment vertical="center" textRotation="90"/>
    </xf>
    <xf numFmtId="0" fontId="2" fillId="0" borderId="0" xfId="0" applyFont="1"/>
    <xf numFmtId="1" fontId="2" fillId="0" borderId="0" xfId="0" applyNumberFormat="1" applyFont="1"/>
    <xf numFmtId="0" fontId="2" fillId="0" borderId="0" xfId="0" applyFont="1" applyAlignment="1">
      <alignment wrapText="1"/>
    </xf>
    <xf numFmtId="0" fontId="2" fillId="0" borderId="2" xfId="0" applyFont="1" applyBorder="1"/>
    <xf numFmtId="1" fontId="2" fillId="0" borderId="2" xfId="0" applyNumberFormat="1" applyFont="1" applyBorder="1"/>
    <xf numFmtId="0" fontId="2" fillId="0" borderId="3" xfId="0" applyFont="1" applyBorder="1"/>
    <xf numFmtId="1" fontId="2" fillId="0" borderId="3" xfId="0" applyNumberFormat="1" applyFont="1" applyBorder="1"/>
    <xf numFmtId="0" fontId="2" fillId="0" borderId="4" xfId="0" applyFont="1" applyBorder="1"/>
    <xf numFmtId="1" fontId="2" fillId="0" borderId="4" xfId="0" applyNumberFormat="1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2" fillId="0" borderId="7" xfId="0" applyFont="1" applyBorder="1"/>
    <xf numFmtId="0" fontId="2" fillId="0" borderId="6" xfId="0" applyFont="1" applyBorder="1"/>
    <xf numFmtId="0" fontId="1" fillId="2" borderId="8" xfId="0" applyFont="1" applyFill="1" applyBorder="1"/>
    <xf numFmtId="0" fontId="1" fillId="2" borderId="9" xfId="0" applyFont="1" applyFill="1" applyBorder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2" fontId="3" fillId="0" borderId="0" xfId="0" applyNumberFormat="1" applyFont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" fontId="0" fillId="0" borderId="0" xfId="0" applyNumberFormat="1"/>
    <xf numFmtId="2" fontId="0" fillId="3" borderId="8" xfId="0" applyNumberFormat="1" applyFill="1" applyBorder="1"/>
    <xf numFmtId="2" fontId="0" fillId="3" borderId="9" xfId="0" applyNumberFormat="1" applyFill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2" xfId="0" applyBorder="1"/>
    <xf numFmtId="0" fontId="5" fillId="0" borderId="10" xfId="0" applyFont="1" applyBorder="1" applyAlignment="1">
      <alignment horizontal="center"/>
    </xf>
    <xf numFmtId="164" fontId="0" fillId="0" borderId="0" xfId="0" applyNumberFormat="1"/>
    <xf numFmtId="164" fontId="0" fillId="0" borderId="2" xfId="0" applyNumberFormat="1" applyBorder="1"/>
    <xf numFmtId="1" fontId="0" fillId="0" borderId="2" xfId="0" applyNumberFormat="1" applyBorder="1"/>
    <xf numFmtId="0" fontId="5" fillId="0" borderId="4" xfId="0" applyFont="1" applyBorder="1" applyAlignment="1">
      <alignment horizontal="center"/>
    </xf>
    <xf numFmtId="2" fontId="0" fillId="0" borderId="2" xfId="0" applyNumberForma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2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3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1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[survey_regression_analysis.xlsx]Country Group!PivotTable3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Average Scores Across Items by Country Group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Group'!$B$3</c:f>
              <c:strCache>
                <c:ptCount val="1"/>
                <c:pt idx="0">
                  <c:v>Empathy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Group'!$B$4:$B$7</c:f>
              <c:numCache>
                <c:formatCode>0.00</c:formatCode>
                <c:ptCount val="3"/>
                <c:pt idx="0">
                  <c:v>2.6033333333333335</c:v>
                </c:pt>
                <c:pt idx="1">
                  <c:v>3.4</c:v>
                </c:pt>
                <c:pt idx="2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2-4439-B4AB-CAC600132E30}"/>
            </c:ext>
          </c:extLst>
        </c:ser>
        <c:ser>
          <c:idx val="1"/>
          <c:order val="1"/>
          <c:tx>
            <c:strRef>
              <c:f>'Country Group'!$C$3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Group'!$C$4:$C$7</c:f>
              <c:numCache>
                <c:formatCode>0.00</c:formatCode>
                <c:ptCount val="3"/>
                <c:pt idx="0">
                  <c:v>3.14</c:v>
                </c:pt>
                <c:pt idx="1">
                  <c:v>3.7333333333333329</c:v>
                </c:pt>
                <c:pt idx="2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62-4439-B4AB-CAC600132E30}"/>
            </c:ext>
          </c:extLst>
        </c:ser>
        <c:ser>
          <c:idx val="2"/>
          <c:order val="2"/>
          <c:tx>
            <c:strRef>
              <c:f>'Country Group'!$D$3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Group'!$D$4:$D$7</c:f>
              <c:numCache>
                <c:formatCode>0.00</c:formatCode>
                <c:ptCount val="3"/>
                <c:pt idx="0">
                  <c:v>3.6584029629629633</c:v>
                </c:pt>
                <c:pt idx="1">
                  <c:v>4.1762716049382718</c:v>
                </c:pt>
                <c:pt idx="2">
                  <c:v>3.7888888888888888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62-4439-B4AB-CAC600132E30}"/>
            </c:ext>
          </c:extLst>
        </c:ser>
        <c:ser>
          <c:idx val="3"/>
          <c:order val="3"/>
          <c:tx>
            <c:strRef>
              <c:f>'Country Group'!$E$3</c:f>
              <c:strCache>
                <c:ptCount val="1"/>
                <c:pt idx="0">
                  <c:v>Convenience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Group'!$E$4:$E$7</c:f>
              <c:numCache>
                <c:formatCode>0.00</c:formatCode>
                <c:ptCount val="3"/>
                <c:pt idx="0">
                  <c:v>3.1720148148148151</c:v>
                </c:pt>
                <c:pt idx="1">
                  <c:v>3.8813580246913575</c:v>
                </c:pt>
                <c:pt idx="2">
                  <c:v>2.9444444444444446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62-4439-B4AB-CAC600132E30}"/>
            </c:ext>
          </c:extLst>
        </c:ser>
        <c:ser>
          <c:idx val="4"/>
          <c:order val="4"/>
          <c:tx>
            <c:strRef>
              <c:f>'Country Group'!$F$3</c:f>
              <c:strCache>
                <c:ptCount val="1"/>
                <c:pt idx="0">
                  <c:v>Helpfulness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Group'!$F$4:$F$7</c:f>
              <c:numCache>
                <c:formatCode>0.00</c:formatCode>
                <c:ptCount val="3"/>
                <c:pt idx="0">
                  <c:v>3.1000740740740742</c:v>
                </c:pt>
                <c:pt idx="1">
                  <c:v>3.7401234567901231</c:v>
                </c:pt>
                <c:pt idx="2">
                  <c:v>1.7222222222222223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62-4439-B4AB-CAC600132E30}"/>
            </c:ext>
          </c:extLst>
        </c:ser>
        <c:ser>
          <c:idx val="5"/>
          <c:order val="5"/>
          <c:tx>
            <c:strRef>
              <c:f>'Country Group'!$G$3</c:f>
              <c:strCache>
                <c:ptCount val="1"/>
                <c:pt idx="0">
                  <c:v>Ease of Use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Group'!$G$4:$G$7</c:f>
              <c:numCache>
                <c:formatCode>0.00</c:formatCode>
                <c:ptCount val="3"/>
                <c:pt idx="0">
                  <c:v>3.240444444444444</c:v>
                </c:pt>
                <c:pt idx="1">
                  <c:v>4.1074074074074076</c:v>
                </c:pt>
                <c:pt idx="2">
                  <c:v>2.3333333333333335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62-4439-B4AB-CAC600132E30}"/>
            </c:ext>
          </c:extLst>
        </c:ser>
        <c:ser>
          <c:idx val="6"/>
          <c:order val="6"/>
          <c:tx>
            <c:strRef>
              <c:f>'Country Group'!$H$3</c:f>
              <c:strCache>
                <c:ptCount val="1"/>
                <c:pt idx="0">
                  <c:v>Trust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Group'!$H$4:$H$7</c:f>
              <c:numCache>
                <c:formatCode>0.00</c:formatCode>
                <c:ptCount val="3"/>
                <c:pt idx="0">
                  <c:v>2.9866666666666668</c:v>
                </c:pt>
                <c:pt idx="1">
                  <c:v>3.9777777777777779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62-4439-B4AB-CAC600132E30}"/>
            </c:ext>
          </c:extLst>
        </c:ser>
        <c:ser>
          <c:idx val="7"/>
          <c:order val="7"/>
          <c:tx>
            <c:strRef>
              <c:f>'Country Group'!$I$3</c:f>
              <c:strCache>
                <c:ptCount val="1"/>
                <c:pt idx="0">
                  <c:v>Satisfaction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Group'!$I$4:$I$7</c:f>
              <c:numCache>
                <c:formatCode>0.00</c:formatCode>
                <c:ptCount val="3"/>
                <c:pt idx="0">
                  <c:v>3.1280000000000001</c:v>
                </c:pt>
                <c:pt idx="1">
                  <c:v>3.5333333333333332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62-4439-B4AB-CAC600132E30}"/>
            </c:ext>
          </c:extLst>
        </c:ser>
        <c:ser>
          <c:idx val="8"/>
          <c:order val="8"/>
          <c:tx>
            <c:strRef>
              <c:f>'Country Group'!$J$3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Group'!$J$4:$J$7</c:f>
              <c:numCache>
                <c:formatCode>0.00</c:formatCode>
                <c:ptCount val="3"/>
                <c:pt idx="0">
                  <c:v>3.1759999999999997</c:v>
                </c:pt>
                <c:pt idx="1">
                  <c:v>3.9333333333333336</c:v>
                </c:pt>
                <c:pt idx="2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62-4439-B4AB-CAC600132E30}"/>
            </c:ext>
          </c:extLst>
        </c:ser>
        <c:ser>
          <c:idx val="9"/>
          <c:order val="9"/>
          <c:tx>
            <c:strRef>
              <c:f>'Country Group'!$K$3</c:f>
              <c:strCache>
                <c:ptCount val="1"/>
                <c:pt idx="0">
                  <c:v>Personalisation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'Country Group'!$A$4:$A$7</c:f>
              <c:strCache>
                <c:ptCount val="3"/>
                <c:pt idx="0">
                  <c:v>England</c:v>
                </c:pt>
                <c:pt idx="1">
                  <c:v>Outside the UK</c:v>
                </c:pt>
                <c:pt idx="2">
                  <c:v>Scotland</c:v>
                </c:pt>
              </c:strCache>
            </c:strRef>
          </c:cat>
          <c:val>
            <c:numRef>
              <c:f>'Country Group'!$K$4:$K$7</c:f>
              <c:numCache>
                <c:formatCode>0.00</c:formatCode>
                <c:ptCount val="3"/>
                <c:pt idx="0">
                  <c:v>2.8138888888888891</c:v>
                </c:pt>
                <c:pt idx="1">
                  <c:v>3.7888888888888892</c:v>
                </c:pt>
                <c:pt idx="2">
                  <c:v>1.2333333333333334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62-4439-B4AB-CAC60013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963552"/>
        <c:axId val="1423964992"/>
      </c:barChart>
      <c:catAx>
        <c:axId val="142396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Countries</a:t>
                </a:r>
              </a:p>
            </c:rich>
          </c:tx>
          <c:layout>
            <c:manualLayout>
              <c:xMode val="edge"/>
              <c:yMode val="edge"/>
              <c:x val="0.49798673650490261"/>
              <c:y val="0.77936390084968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64992"/>
        <c:crosses val="autoZero"/>
        <c:auto val="1"/>
        <c:lblAlgn val="ctr"/>
        <c:lblOffset val="100"/>
        <c:noMultiLvlLbl val="0"/>
      </c:catAx>
      <c:valAx>
        <c:axId val="142396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1.1180089229436559E-2"/>
              <c:y val="0.4348029387513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6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[survey_regression_analysis.xlsx]Likert Visual!PivotTable1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Distribution of Likert-Scale Responses Across Survey Items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'Likert Visual'!$B$3</c:f>
              <c:strCache>
                <c:ptCount val="1"/>
                <c:pt idx="0">
                  <c:v> Strongly Agree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'Likert Visual'!$A$4:$A$14</c:f>
              <c:strCache>
                <c:ptCount val="10"/>
                <c:pt idx="0">
                  <c:v>Accuracy</c:v>
                </c:pt>
                <c:pt idx="1">
                  <c:v>Convenience</c:v>
                </c:pt>
                <c:pt idx="2">
                  <c:v>Ease of Use</c:v>
                </c:pt>
                <c:pt idx="3">
                  <c:v>Empathy</c:v>
                </c:pt>
                <c:pt idx="4">
                  <c:v>Helpfulness</c:v>
                </c:pt>
                <c:pt idx="5">
                  <c:v>Personalisation</c:v>
                </c:pt>
                <c:pt idx="6">
                  <c:v>Satisfaction</c:v>
                </c:pt>
                <c:pt idx="7">
                  <c:v>Speed</c:v>
                </c:pt>
                <c:pt idx="8">
                  <c:v>Trust</c:v>
                </c:pt>
                <c:pt idx="9">
                  <c:v>Usage </c:v>
                </c:pt>
              </c:strCache>
            </c:strRef>
          </c:cat>
          <c:val>
            <c:numRef>
              <c:f>'Likert Visual'!$B$4:$B$14</c:f>
              <c:numCache>
                <c:formatCode>General</c:formatCode>
                <c:ptCount val="10"/>
                <c:pt idx="0">
                  <c:v>11</c:v>
                </c:pt>
                <c:pt idx="1">
                  <c:v>9</c:v>
                </c:pt>
                <c:pt idx="2">
                  <c:v>18</c:v>
                </c:pt>
                <c:pt idx="3">
                  <c:v>14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23</c:v>
                </c:pt>
                <c:pt idx="8">
                  <c:v>13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2-4109-9D68-4B084FA0DB61}"/>
            </c:ext>
          </c:extLst>
        </c:ser>
        <c:ser>
          <c:idx val="1"/>
          <c:order val="1"/>
          <c:tx>
            <c:strRef>
              <c:f>'Likert Visual'!$C$3</c:f>
              <c:strCache>
                <c:ptCount val="1"/>
                <c:pt idx="0">
                  <c:v> 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'Likert Visual'!$A$4:$A$14</c:f>
              <c:strCache>
                <c:ptCount val="10"/>
                <c:pt idx="0">
                  <c:v>Accuracy</c:v>
                </c:pt>
                <c:pt idx="1">
                  <c:v>Convenience</c:v>
                </c:pt>
                <c:pt idx="2">
                  <c:v>Ease of Use</c:v>
                </c:pt>
                <c:pt idx="3">
                  <c:v>Empathy</c:v>
                </c:pt>
                <c:pt idx="4">
                  <c:v>Helpfulness</c:v>
                </c:pt>
                <c:pt idx="5">
                  <c:v>Personalisation</c:v>
                </c:pt>
                <c:pt idx="6">
                  <c:v>Satisfaction</c:v>
                </c:pt>
                <c:pt idx="7">
                  <c:v>Speed</c:v>
                </c:pt>
                <c:pt idx="8">
                  <c:v>Trust</c:v>
                </c:pt>
                <c:pt idx="9">
                  <c:v>Usage </c:v>
                </c:pt>
              </c:strCache>
            </c:strRef>
          </c:cat>
          <c:val>
            <c:numRef>
              <c:f>'Likert Visual'!$C$4:$C$14</c:f>
              <c:numCache>
                <c:formatCode>General</c:formatCode>
                <c:ptCount val="10"/>
                <c:pt idx="0">
                  <c:v>38</c:v>
                </c:pt>
                <c:pt idx="1">
                  <c:v>56</c:v>
                </c:pt>
                <c:pt idx="2">
                  <c:v>53</c:v>
                </c:pt>
                <c:pt idx="3">
                  <c:v>23</c:v>
                </c:pt>
                <c:pt idx="4">
                  <c:v>51</c:v>
                </c:pt>
                <c:pt idx="5">
                  <c:v>34</c:v>
                </c:pt>
                <c:pt idx="6">
                  <c:v>31</c:v>
                </c:pt>
                <c:pt idx="7">
                  <c:v>66</c:v>
                </c:pt>
                <c:pt idx="8">
                  <c:v>41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12-4109-9D68-4B084FA0DB61}"/>
            </c:ext>
          </c:extLst>
        </c:ser>
        <c:ser>
          <c:idx val="2"/>
          <c:order val="2"/>
          <c:tx>
            <c:strRef>
              <c:f>'Likert Visual'!$D$3</c:f>
              <c:strCache>
                <c:ptCount val="1"/>
                <c:pt idx="0">
                  <c:v> Neutral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'Likert Visual'!$A$4:$A$14</c:f>
              <c:strCache>
                <c:ptCount val="10"/>
                <c:pt idx="0">
                  <c:v>Accuracy</c:v>
                </c:pt>
                <c:pt idx="1">
                  <c:v>Convenience</c:v>
                </c:pt>
                <c:pt idx="2">
                  <c:v>Ease of Use</c:v>
                </c:pt>
                <c:pt idx="3">
                  <c:v>Empathy</c:v>
                </c:pt>
                <c:pt idx="4">
                  <c:v>Helpfulness</c:v>
                </c:pt>
                <c:pt idx="5">
                  <c:v>Personalisation</c:v>
                </c:pt>
                <c:pt idx="6">
                  <c:v>Satisfaction</c:v>
                </c:pt>
                <c:pt idx="7">
                  <c:v>Speed</c:v>
                </c:pt>
                <c:pt idx="8">
                  <c:v>Trust</c:v>
                </c:pt>
                <c:pt idx="9">
                  <c:v>Usage </c:v>
                </c:pt>
              </c:strCache>
            </c:strRef>
          </c:cat>
          <c:val>
            <c:numRef>
              <c:f>'Likert Visual'!$D$4:$D$14</c:f>
              <c:numCache>
                <c:formatCode>General</c:formatCode>
                <c:ptCount val="10"/>
                <c:pt idx="0">
                  <c:v>51</c:v>
                </c:pt>
                <c:pt idx="1">
                  <c:v>21</c:v>
                </c:pt>
                <c:pt idx="2">
                  <c:v>49</c:v>
                </c:pt>
                <c:pt idx="3">
                  <c:v>58</c:v>
                </c:pt>
                <c:pt idx="4">
                  <c:v>45</c:v>
                </c:pt>
                <c:pt idx="5">
                  <c:v>61</c:v>
                </c:pt>
                <c:pt idx="6">
                  <c:v>52</c:v>
                </c:pt>
                <c:pt idx="7">
                  <c:v>17</c:v>
                </c:pt>
                <c:pt idx="8">
                  <c:v>53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12-4109-9D68-4B084FA0DB61}"/>
            </c:ext>
          </c:extLst>
        </c:ser>
        <c:ser>
          <c:idx val="3"/>
          <c:order val="3"/>
          <c:tx>
            <c:strRef>
              <c:f>'Likert Visual'!$E$3</c:f>
              <c:strCache>
                <c:ptCount val="1"/>
                <c:pt idx="0">
                  <c:v> Disagree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'Likert Visual'!$A$4:$A$14</c:f>
              <c:strCache>
                <c:ptCount val="10"/>
                <c:pt idx="0">
                  <c:v>Accuracy</c:v>
                </c:pt>
                <c:pt idx="1">
                  <c:v>Convenience</c:v>
                </c:pt>
                <c:pt idx="2">
                  <c:v>Ease of Use</c:v>
                </c:pt>
                <c:pt idx="3">
                  <c:v>Empathy</c:v>
                </c:pt>
                <c:pt idx="4">
                  <c:v>Helpfulness</c:v>
                </c:pt>
                <c:pt idx="5">
                  <c:v>Personalisation</c:v>
                </c:pt>
                <c:pt idx="6">
                  <c:v>Satisfaction</c:v>
                </c:pt>
                <c:pt idx="7">
                  <c:v>Speed</c:v>
                </c:pt>
                <c:pt idx="8">
                  <c:v>Trust</c:v>
                </c:pt>
                <c:pt idx="9">
                  <c:v>Usage </c:v>
                </c:pt>
              </c:strCache>
            </c:strRef>
          </c:cat>
          <c:val>
            <c:numRef>
              <c:f>'Likert Visual'!$E$4:$E$14</c:f>
              <c:numCache>
                <c:formatCode>General</c:formatCode>
                <c:ptCount val="10"/>
                <c:pt idx="0">
                  <c:v>35</c:v>
                </c:pt>
                <c:pt idx="1">
                  <c:v>21</c:v>
                </c:pt>
                <c:pt idx="2">
                  <c:v>18</c:v>
                </c:pt>
                <c:pt idx="3">
                  <c:v>39</c:v>
                </c:pt>
                <c:pt idx="4">
                  <c:v>29</c:v>
                </c:pt>
                <c:pt idx="5">
                  <c:v>30</c:v>
                </c:pt>
                <c:pt idx="6">
                  <c:v>18</c:v>
                </c:pt>
                <c:pt idx="7">
                  <c:v>10</c:v>
                </c:pt>
                <c:pt idx="8">
                  <c:v>22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12-4109-9D68-4B084FA0DB61}"/>
            </c:ext>
          </c:extLst>
        </c:ser>
        <c:ser>
          <c:idx val="4"/>
          <c:order val="4"/>
          <c:tx>
            <c:strRef>
              <c:f>'Likert Visual'!$F$3</c:f>
              <c:strCache>
                <c:ptCount val="1"/>
                <c:pt idx="0">
                  <c:v> Strongly Disagree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'Likert Visual'!$A$4:$A$14</c:f>
              <c:strCache>
                <c:ptCount val="10"/>
                <c:pt idx="0">
                  <c:v>Accuracy</c:v>
                </c:pt>
                <c:pt idx="1">
                  <c:v>Convenience</c:v>
                </c:pt>
                <c:pt idx="2">
                  <c:v>Ease of Use</c:v>
                </c:pt>
                <c:pt idx="3">
                  <c:v>Empathy</c:v>
                </c:pt>
                <c:pt idx="4">
                  <c:v>Helpfulness</c:v>
                </c:pt>
                <c:pt idx="5">
                  <c:v>Personalisation</c:v>
                </c:pt>
                <c:pt idx="6">
                  <c:v>Satisfaction</c:v>
                </c:pt>
                <c:pt idx="7">
                  <c:v>Speed</c:v>
                </c:pt>
                <c:pt idx="8">
                  <c:v>Trust</c:v>
                </c:pt>
                <c:pt idx="9">
                  <c:v>Usage </c:v>
                </c:pt>
              </c:strCache>
            </c:strRef>
          </c:cat>
          <c:val>
            <c:numRef>
              <c:f>'Likert Visual'!$F$4:$F$14</c:f>
              <c:numCache>
                <c:formatCode>General</c:formatCode>
                <c:ptCount val="10"/>
                <c:pt idx="0">
                  <c:v>9</c:v>
                </c:pt>
                <c:pt idx="1">
                  <c:v>13</c:v>
                </c:pt>
                <c:pt idx="2">
                  <c:v>11</c:v>
                </c:pt>
                <c:pt idx="3">
                  <c:v>16</c:v>
                </c:pt>
                <c:pt idx="4">
                  <c:v>16</c:v>
                </c:pt>
                <c:pt idx="5">
                  <c:v>18</c:v>
                </c:pt>
                <c:pt idx="6">
                  <c:v>10</c:v>
                </c:pt>
                <c:pt idx="7">
                  <c:v>4</c:v>
                </c:pt>
                <c:pt idx="8">
                  <c:v>20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12-4109-9D68-4B084FA0D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814968032"/>
        <c:axId val="814968512"/>
      </c:barChart>
      <c:catAx>
        <c:axId val="814968032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Item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68512"/>
        <c:crosses val="autoZero"/>
        <c:auto val="1"/>
        <c:lblAlgn val="ctr"/>
        <c:lblOffset val="100"/>
        <c:noMultiLvlLbl val="0"/>
      </c:catAx>
      <c:valAx>
        <c:axId val="81496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6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Satisfaction_Avg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'Dataset for Regression'!$C$36:$C$65</c:f>
              <c:numCache>
                <c:formatCode>0.00</c:formatCode>
                <c:ptCount val="30"/>
                <c:pt idx="0">
                  <c:v>4</c:v>
                </c:pt>
                <c:pt idx="1">
                  <c:v>2</c:v>
                </c:pt>
                <c:pt idx="2">
                  <c:v>3.8</c:v>
                </c:pt>
                <c:pt idx="3">
                  <c:v>2.8</c:v>
                </c:pt>
                <c:pt idx="4">
                  <c:v>1.4</c:v>
                </c:pt>
                <c:pt idx="5">
                  <c:v>3.4</c:v>
                </c:pt>
                <c:pt idx="6">
                  <c:v>4.2</c:v>
                </c:pt>
                <c:pt idx="7">
                  <c:v>2</c:v>
                </c:pt>
                <c:pt idx="8">
                  <c:v>2.4</c:v>
                </c:pt>
                <c:pt idx="9">
                  <c:v>3</c:v>
                </c:pt>
                <c:pt idx="10">
                  <c:v>4.2</c:v>
                </c:pt>
                <c:pt idx="11">
                  <c:v>2.8</c:v>
                </c:pt>
                <c:pt idx="12">
                  <c:v>3</c:v>
                </c:pt>
                <c:pt idx="13">
                  <c:v>3.2</c:v>
                </c:pt>
                <c:pt idx="14">
                  <c:v>2.4</c:v>
                </c:pt>
                <c:pt idx="15">
                  <c:v>3.4</c:v>
                </c:pt>
                <c:pt idx="16">
                  <c:v>3.6</c:v>
                </c:pt>
                <c:pt idx="17">
                  <c:v>1.4</c:v>
                </c:pt>
                <c:pt idx="18">
                  <c:v>3</c:v>
                </c:pt>
                <c:pt idx="19">
                  <c:v>4</c:v>
                </c:pt>
                <c:pt idx="20">
                  <c:v>2.6</c:v>
                </c:pt>
                <c:pt idx="21">
                  <c:v>3.8</c:v>
                </c:pt>
                <c:pt idx="22">
                  <c:v>4</c:v>
                </c:pt>
                <c:pt idx="23">
                  <c:v>2.4</c:v>
                </c:pt>
                <c:pt idx="24">
                  <c:v>3.2</c:v>
                </c:pt>
                <c:pt idx="25">
                  <c:v>3.8</c:v>
                </c:pt>
                <c:pt idx="26">
                  <c:v>3.6</c:v>
                </c:pt>
                <c:pt idx="27">
                  <c:v>3.4</c:v>
                </c:pt>
                <c:pt idx="28">
                  <c:v>3.2</c:v>
                </c:pt>
                <c:pt idx="29">
                  <c:v>3.2</c:v>
                </c:pt>
              </c:numCache>
            </c:numRef>
          </c:xVal>
          <c:yVal>
            <c:numRef>
              <c:f>'Dataset for Regression'!$J$62:$J$91</c:f>
              <c:numCache>
                <c:formatCode>General</c:formatCode>
                <c:ptCount val="30"/>
                <c:pt idx="0">
                  <c:v>0.44224843917429224</c:v>
                </c:pt>
                <c:pt idx="1">
                  <c:v>-0.6156063232686162</c:v>
                </c:pt>
                <c:pt idx="2">
                  <c:v>-0.12352975937266608</c:v>
                </c:pt>
                <c:pt idx="3">
                  <c:v>0.5568741702869433</c:v>
                </c:pt>
                <c:pt idx="4">
                  <c:v>6.9527199926858518E-2</c:v>
                </c:pt>
                <c:pt idx="5">
                  <c:v>-1.0828768611846571</c:v>
                </c:pt>
                <c:pt idx="6">
                  <c:v>0.32301101411397015</c:v>
                </c:pt>
                <c:pt idx="7">
                  <c:v>0.50306345532881602</c:v>
                </c:pt>
                <c:pt idx="8">
                  <c:v>-0.57376732215670723</c:v>
                </c:pt>
                <c:pt idx="9">
                  <c:v>0.18719757796603442</c:v>
                </c:pt>
                <c:pt idx="10">
                  <c:v>0.54153804811784845</c:v>
                </c:pt>
                <c:pt idx="11">
                  <c:v>0.13907342356444596</c:v>
                </c:pt>
                <c:pt idx="12">
                  <c:v>0.3601349512261165</c:v>
                </c:pt>
                <c:pt idx="13">
                  <c:v>-0.7473093575599612</c:v>
                </c:pt>
                <c:pt idx="14">
                  <c:v>-5.1252492528949034E-2</c:v>
                </c:pt>
                <c:pt idx="15">
                  <c:v>0.65724065782447605</c:v>
                </c:pt>
                <c:pt idx="16">
                  <c:v>-0.46144100372799013</c:v>
                </c:pt>
                <c:pt idx="17">
                  <c:v>0.48014917090385056</c:v>
                </c:pt>
                <c:pt idx="18">
                  <c:v>-9.6201714034688024E-2</c:v>
                </c:pt>
                <c:pt idx="19">
                  <c:v>0.26439725082118404</c:v>
                </c:pt>
                <c:pt idx="20">
                  <c:v>-9.4310605290554683E-2</c:v>
                </c:pt>
                <c:pt idx="21">
                  <c:v>0.47414916736261858</c:v>
                </c:pt>
                <c:pt idx="22">
                  <c:v>-0.17641790130738499</c:v>
                </c:pt>
                <c:pt idx="23">
                  <c:v>0.57189606565969564</c:v>
                </c:pt>
                <c:pt idx="24">
                  <c:v>4.2100483743896078E-2</c:v>
                </c:pt>
                <c:pt idx="25">
                  <c:v>-0.42878413713634433</c:v>
                </c:pt>
                <c:pt idx="26">
                  <c:v>6.2619440990442587E-2</c:v>
                </c:pt>
                <c:pt idx="27">
                  <c:v>0.63354637108533485</c:v>
                </c:pt>
                <c:pt idx="28">
                  <c:v>-1.0103426945774712</c:v>
                </c:pt>
                <c:pt idx="29">
                  <c:v>-0.84692671595083224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CC-402F-9C99-79C12B505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916543"/>
        <c:axId val="1263918943"/>
      </c:scatterChart>
      <c:valAx>
        <c:axId val="126391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Satisfaction_Avg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63918943"/>
        <c:crosses val="autoZero"/>
        <c:crossBetween val="midCat"/>
      </c:valAx>
      <c:valAx>
        <c:axId val="12639189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3916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Empathy_Avg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'Dataset for Regression'!$D$36:$D$65</c:f>
              <c:numCache>
                <c:formatCode>0.00</c:formatCode>
                <c:ptCount val="30"/>
                <c:pt idx="0">
                  <c:v>1.8666666666666667</c:v>
                </c:pt>
                <c:pt idx="1">
                  <c:v>1.4</c:v>
                </c:pt>
                <c:pt idx="2">
                  <c:v>1.7999999999999998</c:v>
                </c:pt>
                <c:pt idx="3">
                  <c:v>2.8333333333333335</c:v>
                </c:pt>
                <c:pt idx="4">
                  <c:v>2.2999999999999998</c:v>
                </c:pt>
                <c:pt idx="5">
                  <c:v>2.2333333333333334</c:v>
                </c:pt>
                <c:pt idx="6">
                  <c:v>3.3666666666666667</c:v>
                </c:pt>
                <c:pt idx="7">
                  <c:v>3.1</c:v>
                </c:pt>
                <c:pt idx="8">
                  <c:v>3.0333333333333332</c:v>
                </c:pt>
                <c:pt idx="9">
                  <c:v>2.2666666666666666</c:v>
                </c:pt>
                <c:pt idx="10">
                  <c:v>3.5333333333333332</c:v>
                </c:pt>
                <c:pt idx="11">
                  <c:v>2.6666666666666665</c:v>
                </c:pt>
                <c:pt idx="12">
                  <c:v>3</c:v>
                </c:pt>
                <c:pt idx="13">
                  <c:v>2.5333333333333332</c:v>
                </c:pt>
                <c:pt idx="14">
                  <c:v>3.5</c:v>
                </c:pt>
                <c:pt idx="15">
                  <c:v>3.1</c:v>
                </c:pt>
                <c:pt idx="16">
                  <c:v>2.6333333333333333</c:v>
                </c:pt>
                <c:pt idx="17">
                  <c:v>1.0666666666666667</c:v>
                </c:pt>
                <c:pt idx="18">
                  <c:v>2.2999999999999998</c:v>
                </c:pt>
                <c:pt idx="19">
                  <c:v>3.1666666666666665</c:v>
                </c:pt>
                <c:pt idx="20">
                  <c:v>2.3333333333333335</c:v>
                </c:pt>
                <c:pt idx="21">
                  <c:v>1.6666666666666667</c:v>
                </c:pt>
                <c:pt idx="22">
                  <c:v>2.1666666666666665</c:v>
                </c:pt>
                <c:pt idx="23">
                  <c:v>2.6666666666666665</c:v>
                </c:pt>
                <c:pt idx="24">
                  <c:v>3.3333333333333335</c:v>
                </c:pt>
                <c:pt idx="25">
                  <c:v>3.5333333333333332</c:v>
                </c:pt>
                <c:pt idx="26">
                  <c:v>3.5833333333333335</c:v>
                </c:pt>
                <c:pt idx="27">
                  <c:v>2.4666666666666668</c:v>
                </c:pt>
                <c:pt idx="28">
                  <c:v>2.7666666666666666</c:v>
                </c:pt>
                <c:pt idx="29">
                  <c:v>3.5</c:v>
                </c:pt>
              </c:numCache>
            </c:numRef>
          </c:xVal>
          <c:yVal>
            <c:numRef>
              <c:f>'Dataset for Regression'!$J$62:$J$91</c:f>
              <c:numCache>
                <c:formatCode>General</c:formatCode>
                <c:ptCount val="30"/>
                <c:pt idx="0">
                  <c:v>0.44224843917429224</c:v>
                </c:pt>
                <c:pt idx="1">
                  <c:v>-0.6156063232686162</c:v>
                </c:pt>
                <c:pt idx="2">
                  <c:v>-0.12352975937266608</c:v>
                </c:pt>
                <c:pt idx="3">
                  <c:v>0.5568741702869433</c:v>
                </c:pt>
                <c:pt idx="4">
                  <c:v>6.9527199926858518E-2</c:v>
                </c:pt>
                <c:pt idx="5">
                  <c:v>-1.0828768611846571</c:v>
                </c:pt>
                <c:pt idx="6">
                  <c:v>0.32301101411397015</c:v>
                </c:pt>
                <c:pt idx="7">
                  <c:v>0.50306345532881602</c:v>
                </c:pt>
                <c:pt idx="8">
                  <c:v>-0.57376732215670723</c:v>
                </c:pt>
                <c:pt idx="9">
                  <c:v>0.18719757796603442</c:v>
                </c:pt>
                <c:pt idx="10">
                  <c:v>0.54153804811784845</c:v>
                </c:pt>
                <c:pt idx="11">
                  <c:v>0.13907342356444596</c:v>
                </c:pt>
                <c:pt idx="12">
                  <c:v>0.3601349512261165</c:v>
                </c:pt>
                <c:pt idx="13">
                  <c:v>-0.7473093575599612</c:v>
                </c:pt>
                <c:pt idx="14">
                  <c:v>-5.1252492528949034E-2</c:v>
                </c:pt>
                <c:pt idx="15">
                  <c:v>0.65724065782447605</c:v>
                </c:pt>
                <c:pt idx="16">
                  <c:v>-0.46144100372799013</c:v>
                </c:pt>
                <c:pt idx="17">
                  <c:v>0.48014917090385056</c:v>
                </c:pt>
                <c:pt idx="18">
                  <c:v>-9.6201714034688024E-2</c:v>
                </c:pt>
                <c:pt idx="19">
                  <c:v>0.26439725082118404</c:v>
                </c:pt>
                <c:pt idx="20">
                  <c:v>-9.4310605290554683E-2</c:v>
                </c:pt>
                <c:pt idx="21">
                  <c:v>0.47414916736261858</c:v>
                </c:pt>
                <c:pt idx="22">
                  <c:v>-0.17641790130738499</c:v>
                </c:pt>
                <c:pt idx="23">
                  <c:v>0.57189606565969564</c:v>
                </c:pt>
                <c:pt idx="24">
                  <c:v>4.2100483743896078E-2</c:v>
                </c:pt>
                <c:pt idx="25">
                  <c:v>-0.42878413713634433</c:v>
                </c:pt>
                <c:pt idx="26">
                  <c:v>6.2619440990442587E-2</c:v>
                </c:pt>
                <c:pt idx="27">
                  <c:v>0.63354637108533485</c:v>
                </c:pt>
                <c:pt idx="28">
                  <c:v>-1.0103426945774712</c:v>
                </c:pt>
                <c:pt idx="29">
                  <c:v>-0.84692671595083224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75-404C-A7A2-23E20F62C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217120"/>
        <c:axId val="2000218560"/>
      </c:scatterChart>
      <c:valAx>
        <c:axId val="200021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Empathy_Avg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00218560"/>
        <c:crosses val="autoZero"/>
        <c:crossBetween val="midCat"/>
      </c:valAx>
      <c:valAx>
        <c:axId val="2000218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021712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Personalisation_Avg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'Dataset for Regression'!$E$36:$E$65</c:f>
              <c:numCache>
                <c:formatCode>0.00</c:formatCode>
                <c:ptCount val="30"/>
                <c:pt idx="0">
                  <c:v>1.8111111111111111</c:v>
                </c:pt>
                <c:pt idx="1">
                  <c:v>1.2333333333333334</c:v>
                </c:pt>
                <c:pt idx="2">
                  <c:v>1.8</c:v>
                </c:pt>
                <c:pt idx="3">
                  <c:v>2.6388888888888888</c:v>
                </c:pt>
                <c:pt idx="4">
                  <c:v>1.8833333333333333</c:v>
                </c:pt>
                <c:pt idx="5">
                  <c:v>3.3722222222222222</c:v>
                </c:pt>
                <c:pt idx="6">
                  <c:v>3.2277777777777779</c:v>
                </c:pt>
                <c:pt idx="7">
                  <c:v>3.85</c:v>
                </c:pt>
                <c:pt idx="8">
                  <c:v>2.338888888888889</c:v>
                </c:pt>
                <c:pt idx="9">
                  <c:v>3.0444444444444443</c:v>
                </c:pt>
                <c:pt idx="10">
                  <c:v>4.7555555555555555</c:v>
                </c:pt>
                <c:pt idx="11">
                  <c:v>2.7777777777777777</c:v>
                </c:pt>
                <c:pt idx="12">
                  <c:v>3</c:v>
                </c:pt>
                <c:pt idx="13">
                  <c:v>3.088888888888889</c:v>
                </c:pt>
                <c:pt idx="14">
                  <c:v>2.9166666666666665</c:v>
                </c:pt>
                <c:pt idx="15">
                  <c:v>2.6833333333333336</c:v>
                </c:pt>
                <c:pt idx="16">
                  <c:v>3.1055555555555556</c:v>
                </c:pt>
                <c:pt idx="17">
                  <c:v>2.3444444444444446</c:v>
                </c:pt>
                <c:pt idx="18">
                  <c:v>3.2166666666666668</c:v>
                </c:pt>
                <c:pt idx="19">
                  <c:v>3.6944444444444446</c:v>
                </c:pt>
                <c:pt idx="20">
                  <c:v>2.8888888888888888</c:v>
                </c:pt>
                <c:pt idx="21">
                  <c:v>2.2777777777777777</c:v>
                </c:pt>
                <c:pt idx="22">
                  <c:v>2.3611111111111112</c:v>
                </c:pt>
                <c:pt idx="23">
                  <c:v>2.2777777777777777</c:v>
                </c:pt>
                <c:pt idx="24">
                  <c:v>3.0555555555555554</c:v>
                </c:pt>
                <c:pt idx="25">
                  <c:v>3.2555555555555555</c:v>
                </c:pt>
                <c:pt idx="26">
                  <c:v>2.5972222222222223</c:v>
                </c:pt>
                <c:pt idx="27">
                  <c:v>3.0777777777777779</c:v>
                </c:pt>
                <c:pt idx="28">
                  <c:v>3.2944444444444443</c:v>
                </c:pt>
                <c:pt idx="29">
                  <c:v>3.4166666666666665</c:v>
                </c:pt>
              </c:numCache>
            </c:numRef>
          </c:xVal>
          <c:yVal>
            <c:numRef>
              <c:f>'Dataset for Regression'!$J$62:$J$91</c:f>
              <c:numCache>
                <c:formatCode>General</c:formatCode>
                <c:ptCount val="30"/>
                <c:pt idx="0">
                  <c:v>0.44224843917429224</c:v>
                </c:pt>
                <c:pt idx="1">
                  <c:v>-0.6156063232686162</c:v>
                </c:pt>
                <c:pt idx="2">
                  <c:v>-0.12352975937266608</c:v>
                </c:pt>
                <c:pt idx="3">
                  <c:v>0.5568741702869433</c:v>
                </c:pt>
                <c:pt idx="4">
                  <c:v>6.9527199926858518E-2</c:v>
                </c:pt>
                <c:pt idx="5">
                  <c:v>-1.0828768611846571</c:v>
                </c:pt>
                <c:pt idx="6">
                  <c:v>0.32301101411397015</c:v>
                </c:pt>
                <c:pt idx="7">
                  <c:v>0.50306345532881602</c:v>
                </c:pt>
                <c:pt idx="8">
                  <c:v>-0.57376732215670723</c:v>
                </c:pt>
                <c:pt idx="9">
                  <c:v>0.18719757796603442</c:v>
                </c:pt>
                <c:pt idx="10">
                  <c:v>0.54153804811784845</c:v>
                </c:pt>
                <c:pt idx="11">
                  <c:v>0.13907342356444596</c:v>
                </c:pt>
                <c:pt idx="12">
                  <c:v>0.3601349512261165</c:v>
                </c:pt>
                <c:pt idx="13">
                  <c:v>-0.7473093575599612</c:v>
                </c:pt>
                <c:pt idx="14">
                  <c:v>-5.1252492528949034E-2</c:v>
                </c:pt>
                <c:pt idx="15">
                  <c:v>0.65724065782447605</c:v>
                </c:pt>
                <c:pt idx="16">
                  <c:v>-0.46144100372799013</c:v>
                </c:pt>
                <c:pt idx="17">
                  <c:v>0.48014917090385056</c:v>
                </c:pt>
                <c:pt idx="18">
                  <c:v>-9.6201714034688024E-2</c:v>
                </c:pt>
                <c:pt idx="19">
                  <c:v>0.26439725082118404</c:v>
                </c:pt>
                <c:pt idx="20">
                  <c:v>-9.4310605290554683E-2</c:v>
                </c:pt>
                <c:pt idx="21">
                  <c:v>0.47414916736261858</c:v>
                </c:pt>
                <c:pt idx="22">
                  <c:v>-0.17641790130738499</c:v>
                </c:pt>
                <c:pt idx="23">
                  <c:v>0.57189606565969564</c:v>
                </c:pt>
                <c:pt idx="24">
                  <c:v>4.2100483743896078E-2</c:v>
                </c:pt>
                <c:pt idx="25">
                  <c:v>-0.42878413713634433</c:v>
                </c:pt>
                <c:pt idx="26">
                  <c:v>6.2619440990442587E-2</c:v>
                </c:pt>
                <c:pt idx="27">
                  <c:v>0.63354637108533485</c:v>
                </c:pt>
                <c:pt idx="28">
                  <c:v>-1.0103426945774712</c:v>
                </c:pt>
                <c:pt idx="29">
                  <c:v>-0.84692671595083224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77-407A-AA9C-7BE7C9C3D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855999"/>
        <c:axId val="1136853119"/>
      </c:scatterChart>
      <c:valAx>
        <c:axId val="113685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Personalisation_Avg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136853119"/>
        <c:crosses val="autoZero"/>
        <c:crossBetween val="midCat"/>
      </c:valAx>
      <c:valAx>
        <c:axId val="1136853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68559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Trust_Avg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'Dataset for Regression'!$F$36:$F$65</c:f>
              <c:numCache>
                <c:formatCode>0.00</c:formatCode>
                <c:ptCount val="30"/>
                <c:pt idx="0">
                  <c:v>3.3333333333333335</c:v>
                </c:pt>
                <c:pt idx="1">
                  <c:v>2</c:v>
                </c:pt>
                <c:pt idx="2">
                  <c:v>3.8</c:v>
                </c:pt>
                <c:pt idx="3">
                  <c:v>2.2999999999999998</c:v>
                </c:pt>
                <c:pt idx="4">
                  <c:v>2.0666666666666664</c:v>
                </c:pt>
                <c:pt idx="5">
                  <c:v>3.4</c:v>
                </c:pt>
                <c:pt idx="6">
                  <c:v>3.3666666666666667</c:v>
                </c:pt>
                <c:pt idx="7">
                  <c:v>2</c:v>
                </c:pt>
                <c:pt idx="8">
                  <c:v>2.7333333333333334</c:v>
                </c:pt>
                <c:pt idx="9">
                  <c:v>2.8</c:v>
                </c:pt>
                <c:pt idx="10">
                  <c:v>4.8666666666666671</c:v>
                </c:pt>
                <c:pt idx="11">
                  <c:v>3.9666666666666668</c:v>
                </c:pt>
                <c:pt idx="12">
                  <c:v>3</c:v>
                </c:pt>
                <c:pt idx="13">
                  <c:v>2.7</c:v>
                </c:pt>
                <c:pt idx="14">
                  <c:v>3.4</c:v>
                </c:pt>
                <c:pt idx="15">
                  <c:v>3.2333333333333334</c:v>
                </c:pt>
                <c:pt idx="16">
                  <c:v>2.7666666666666666</c:v>
                </c:pt>
                <c:pt idx="17">
                  <c:v>1.7333333333333334</c:v>
                </c:pt>
                <c:pt idx="18">
                  <c:v>2</c:v>
                </c:pt>
                <c:pt idx="19">
                  <c:v>3.6666666666666665</c:v>
                </c:pt>
                <c:pt idx="20">
                  <c:v>2.9333333333333336</c:v>
                </c:pt>
                <c:pt idx="21">
                  <c:v>2.9666666666666668</c:v>
                </c:pt>
                <c:pt idx="22">
                  <c:v>2.833333333333333</c:v>
                </c:pt>
                <c:pt idx="23">
                  <c:v>3.0666666666666664</c:v>
                </c:pt>
                <c:pt idx="24">
                  <c:v>3.3666666666666667</c:v>
                </c:pt>
                <c:pt idx="25">
                  <c:v>3.6333333333333333</c:v>
                </c:pt>
                <c:pt idx="26">
                  <c:v>4.4333333333333336</c:v>
                </c:pt>
                <c:pt idx="27">
                  <c:v>2.5666666666666664</c:v>
                </c:pt>
                <c:pt idx="28">
                  <c:v>3.3666666666666667</c:v>
                </c:pt>
                <c:pt idx="29">
                  <c:v>3.0333333333333332</c:v>
                </c:pt>
              </c:numCache>
            </c:numRef>
          </c:xVal>
          <c:yVal>
            <c:numRef>
              <c:f>'Dataset for Regression'!$J$62:$J$91</c:f>
              <c:numCache>
                <c:formatCode>General</c:formatCode>
                <c:ptCount val="30"/>
                <c:pt idx="0">
                  <c:v>0.44224843917429224</c:v>
                </c:pt>
                <c:pt idx="1">
                  <c:v>-0.6156063232686162</c:v>
                </c:pt>
                <c:pt idx="2">
                  <c:v>-0.12352975937266608</c:v>
                </c:pt>
                <c:pt idx="3">
                  <c:v>0.5568741702869433</c:v>
                </c:pt>
                <c:pt idx="4">
                  <c:v>6.9527199926858518E-2</c:v>
                </c:pt>
                <c:pt idx="5">
                  <c:v>-1.0828768611846571</c:v>
                </c:pt>
                <c:pt idx="6">
                  <c:v>0.32301101411397015</c:v>
                </c:pt>
                <c:pt idx="7">
                  <c:v>0.50306345532881602</c:v>
                </c:pt>
                <c:pt idx="8">
                  <c:v>-0.57376732215670723</c:v>
                </c:pt>
                <c:pt idx="9">
                  <c:v>0.18719757796603442</c:v>
                </c:pt>
                <c:pt idx="10">
                  <c:v>0.54153804811784845</c:v>
                </c:pt>
                <c:pt idx="11">
                  <c:v>0.13907342356444596</c:v>
                </c:pt>
                <c:pt idx="12">
                  <c:v>0.3601349512261165</c:v>
                </c:pt>
                <c:pt idx="13">
                  <c:v>-0.7473093575599612</c:v>
                </c:pt>
                <c:pt idx="14">
                  <c:v>-5.1252492528949034E-2</c:v>
                </c:pt>
                <c:pt idx="15">
                  <c:v>0.65724065782447605</c:v>
                </c:pt>
                <c:pt idx="16">
                  <c:v>-0.46144100372799013</c:v>
                </c:pt>
                <c:pt idx="17">
                  <c:v>0.48014917090385056</c:v>
                </c:pt>
                <c:pt idx="18">
                  <c:v>-9.6201714034688024E-2</c:v>
                </c:pt>
                <c:pt idx="19">
                  <c:v>0.26439725082118404</c:v>
                </c:pt>
                <c:pt idx="20">
                  <c:v>-9.4310605290554683E-2</c:v>
                </c:pt>
                <c:pt idx="21">
                  <c:v>0.47414916736261858</c:v>
                </c:pt>
                <c:pt idx="22">
                  <c:v>-0.17641790130738499</c:v>
                </c:pt>
                <c:pt idx="23">
                  <c:v>0.57189606565969564</c:v>
                </c:pt>
                <c:pt idx="24">
                  <c:v>4.2100483743896078E-2</c:v>
                </c:pt>
                <c:pt idx="25">
                  <c:v>-0.42878413713634433</c:v>
                </c:pt>
                <c:pt idx="26">
                  <c:v>6.2619440990442587E-2</c:v>
                </c:pt>
                <c:pt idx="27">
                  <c:v>0.63354637108533485</c:v>
                </c:pt>
                <c:pt idx="28">
                  <c:v>-1.0103426945774712</c:v>
                </c:pt>
                <c:pt idx="29">
                  <c:v>-0.84692671595083224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3C-45B7-8684-3855B6F98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338928"/>
        <c:axId val="1136853599"/>
      </c:scatterChart>
      <c:valAx>
        <c:axId val="201133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Trust_Avg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136853599"/>
        <c:crosses val="autoZero"/>
        <c:crossBetween val="midCat"/>
      </c:valAx>
      <c:valAx>
        <c:axId val="1136853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13389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Satisfaction_Avg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Engagement_Avg</c:v>
          </c:tx>
          <c:spPr>
            <a:ln w="19050">
              <a:noFill/>
            </a:ln>
          </c:spPr>
          <c:xVal>
            <c:numRef>
              <c:f>'Dataset for Regression'!$C$36:$C$65</c:f>
              <c:numCache>
                <c:formatCode>0.00</c:formatCode>
                <c:ptCount val="30"/>
                <c:pt idx="0">
                  <c:v>4</c:v>
                </c:pt>
                <c:pt idx="1">
                  <c:v>2</c:v>
                </c:pt>
                <c:pt idx="2">
                  <c:v>3.8</c:v>
                </c:pt>
                <c:pt idx="3">
                  <c:v>2.8</c:v>
                </c:pt>
                <c:pt idx="4">
                  <c:v>1.4</c:v>
                </c:pt>
                <c:pt idx="5">
                  <c:v>3.4</c:v>
                </c:pt>
                <c:pt idx="6">
                  <c:v>4.2</c:v>
                </c:pt>
                <c:pt idx="7">
                  <c:v>2</c:v>
                </c:pt>
                <c:pt idx="8">
                  <c:v>2.4</c:v>
                </c:pt>
                <c:pt idx="9">
                  <c:v>3</c:v>
                </c:pt>
                <c:pt idx="10">
                  <c:v>4.2</c:v>
                </c:pt>
                <c:pt idx="11">
                  <c:v>2.8</c:v>
                </c:pt>
                <c:pt idx="12">
                  <c:v>3</c:v>
                </c:pt>
                <c:pt idx="13">
                  <c:v>3.2</c:v>
                </c:pt>
                <c:pt idx="14">
                  <c:v>2.4</c:v>
                </c:pt>
                <c:pt idx="15">
                  <c:v>3.4</c:v>
                </c:pt>
                <c:pt idx="16">
                  <c:v>3.6</c:v>
                </c:pt>
                <c:pt idx="17">
                  <c:v>1.4</c:v>
                </c:pt>
                <c:pt idx="18">
                  <c:v>3</c:v>
                </c:pt>
                <c:pt idx="19">
                  <c:v>4</c:v>
                </c:pt>
                <c:pt idx="20">
                  <c:v>2.6</c:v>
                </c:pt>
                <c:pt idx="21">
                  <c:v>3.8</c:v>
                </c:pt>
                <c:pt idx="22">
                  <c:v>4</c:v>
                </c:pt>
                <c:pt idx="23">
                  <c:v>2.4</c:v>
                </c:pt>
                <c:pt idx="24">
                  <c:v>3.2</c:v>
                </c:pt>
                <c:pt idx="25">
                  <c:v>3.8</c:v>
                </c:pt>
                <c:pt idx="26">
                  <c:v>3.6</c:v>
                </c:pt>
                <c:pt idx="27">
                  <c:v>3.4</c:v>
                </c:pt>
                <c:pt idx="28">
                  <c:v>3.2</c:v>
                </c:pt>
                <c:pt idx="29">
                  <c:v>3.2</c:v>
                </c:pt>
              </c:numCache>
            </c:numRef>
          </c:xVal>
          <c:yVal>
            <c:numRef>
              <c:f>'Dataset for Regression'!$B$36:$B$65</c:f>
              <c:numCache>
                <c:formatCode>0.00</c:formatCode>
                <c:ptCount val="30"/>
                <c:pt idx="0">
                  <c:v>4</c:v>
                </c:pt>
                <c:pt idx="1">
                  <c:v>1.8</c:v>
                </c:pt>
                <c:pt idx="2">
                  <c:v>3.6</c:v>
                </c:pt>
                <c:pt idx="3">
                  <c:v>3.2</c:v>
                </c:pt>
                <c:pt idx="4">
                  <c:v>2.2000000000000002</c:v>
                </c:pt>
                <c:pt idx="5">
                  <c:v>2.6</c:v>
                </c:pt>
                <c:pt idx="6">
                  <c:v>3.8</c:v>
                </c:pt>
                <c:pt idx="7">
                  <c:v>3</c:v>
                </c:pt>
                <c:pt idx="8">
                  <c:v>2</c:v>
                </c:pt>
                <c:pt idx="9">
                  <c:v>3.4</c:v>
                </c:pt>
                <c:pt idx="10">
                  <c:v>5</c:v>
                </c:pt>
                <c:pt idx="11">
                  <c:v>3.6</c:v>
                </c:pt>
                <c:pt idx="12">
                  <c:v>3.4</c:v>
                </c:pt>
                <c:pt idx="13">
                  <c:v>2.4</c:v>
                </c:pt>
                <c:pt idx="14">
                  <c:v>2.8</c:v>
                </c:pt>
                <c:pt idx="15">
                  <c:v>3.8</c:v>
                </c:pt>
                <c:pt idx="16">
                  <c:v>2.8</c:v>
                </c:pt>
                <c:pt idx="17">
                  <c:v>3</c:v>
                </c:pt>
                <c:pt idx="18">
                  <c:v>2.8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3.2</c:v>
                </c:pt>
                <c:pt idx="23">
                  <c:v>3.4</c:v>
                </c:pt>
                <c:pt idx="24">
                  <c:v>3.2</c:v>
                </c:pt>
                <c:pt idx="25">
                  <c:v>3</c:v>
                </c:pt>
                <c:pt idx="26">
                  <c:v>3.6</c:v>
                </c:pt>
                <c:pt idx="27">
                  <c:v>3.8</c:v>
                </c:pt>
                <c:pt idx="28">
                  <c:v>2.4</c:v>
                </c:pt>
                <c:pt idx="29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5B-49FB-B875-50F630991DF9}"/>
            </c:ext>
          </c:extLst>
        </c:ser>
        <c:ser>
          <c:idx val="1"/>
          <c:order val="1"/>
          <c:tx>
            <c:v>Predicted Engagement_Avg</c:v>
          </c:tx>
          <c:spPr>
            <a:ln w="19050">
              <a:noFill/>
            </a:ln>
          </c:spPr>
          <c:xVal>
            <c:numRef>
              <c:f>'Dataset for Regression'!$C$36:$C$65</c:f>
              <c:numCache>
                <c:formatCode>0.00</c:formatCode>
                <c:ptCount val="30"/>
                <c:pt idx="0">
                  <c:v>4</c:v>
                </c:pt>
                <c:pt idx="1">
                  <c:v>2</c:v>
                </c:pt>
                <c:pt idx="2">
                  <c:v>3.8</c:v>
                </c:pt>
                <c:pt idx="3">
                  <c:v>2.8</c:v>
                </c:pt>
                <c:pt idx="4">
                  <c:v>1.4</c:v>
                </c:pt>
                <c:pt idx="5">
                  <c:v>3.4</c:v>
                </c:pt>
                <c:pt idx="6">
                  <c:v>4.2</c:v>
                </c:pt>
                <c:pt idx="7">
                  <c:v>2</c:v>
                </c:pt>
                <c:pt idx="8">
                  <c:v>2.4</c:v>
                </c:pt>
                <c:pt idx="9">
                  <c:v>3</c:v>
                </c:pt>
                <c:pt idx="10">
                  <c:v>4.2</c:v>
                </c:pt>
                <c:pt idx="11">
                  <c:v>2.8</c:v>
                </c:pt>
                <c:pt idx="12">
                  <c:v>3</c:v>
                </c:pt>
                <c:pt idx="13">
                  <c:v>3.2</c:v>
                </c:pt>
                <c:pt idx="14">
                  <c:v>2.4</c:v>
                </c:pt>
                <c:pt idx="15">
                  <c:v>3.4</c:v>
                </c:pt>
                <c:pt idx="16">
                  <c:v>3.6</c:v>
                </c:pt>
                <c:pt idx="17">
                  <c:v>1.4</c:v>
                </c:pt>
                <c:pt idx="18">
                  <c:v>3</c:v>
                </c:pt>
                <c:pt idx="19">
                  <c:v>4</c:v>
                </c:pt>
                <c:pt idx="20">
                  <c:v>2.6</c:v>
                </c:pt>
                <c:pt idx="21">
                  <c:v>3.8</c:v>
                </c:pt>
                <c:pt idx="22">
                  <c:v>4</c:v>
                </c:pt>
                <c:pt idx="23">
                  <c:v>2.4</c:v>
                </c:pt>
                <c:pt idx="24">
                  <c:v>3.2</c:v>
                </c:pt>
                <c:pt idx="25">
                  <c:v>3.8</c:v>
                </c:pt>
                <c:pt idx="26">
                  <c:v>3.6</c:v>
                </c:pt>
                <c:pt idx="27">
                  <c:v>3.4</c:v>
                </c:pt>
                <c:pt idx="28">
                  <c:v>3.2</c:v>
                </c:pt>
                <c:pt idx="29">
                  <c:v>3.2</c:v>
                </c:pt>
              </c:numCache>
            </c:numRef>
          </c:xVal>
          <c:yVal>
            <c:numRef>
              <c:f>'Dataset for Regression'!$I$62:$I$91</c:f>
              <c:numCache>
                <c:formatCode>General</c:formatCode>
                <c:ptCount val="30"/>
                <c:pt idx="0">
                  <c:v>3.5577515608257078</c:v>
                </c:pt>
                <c:pt idx="1">
                  <c:v>2.4156063232686162</c:v>
                </c:pt>
                <c:pt idx="2">
                  <c:v>3.7235297593726662</c:v>
                </c:pt>
                <c:pt idx="3">
                  <c:v>2.6431258297130569</c:v>
                </c:pt>
                <c:pt idx="4">
                  <c:v>2.1304728000731417</c:v>
                </c:pt>
                <c:pt idx="5">
                  <c:v>3.6828768611846572</c:v>
                </c:pt>
                <c:pt idx="6">
                  <c:v>3.4769889858860297</c:v>
                </c:pt>
                <c:pt idx="7">
                  <c:v>2.496936544671184</c:v>
                </c:pt>
                <c:pt idx="8">
                  <c:v>2.5737673221567072</c:v>
                </c:pt>
                <c:pt idx="9">
                  <c:v>3.2128024220339655</c:v>
                </c:pt>
                <c:pt idx="10">
                  <c:v>4.4584619518821516</c:v>
                </c:pt>
                <c:pt idx="11">
                  <c:v>3.4609265764355541</c:v>
                </c:pt>
                <c:pt idx="12">
                  <c:v>3.0398650487738834</c:v>
                </c:pt>
                <c:pt idx="13">
                  <c:v>3.1473093575599611</c:v>
                </c:pt>
                <c:pt idx="14">
                  <c:v>2.8512524925289489</c:v>
                </c:pt>
                <c:pt idx="15">
                  <c:v>3.1427593421755238</c:v>
                </c:pt>
                <c:pt idx="16">
                  <c:v>3.26144100372799</c:v>
                </c:pt>
                <c:pt idx="17">
                  <c:v>2.5198508290961494</c:v>
                </c:pt>
                <c:pt idx="18">
                  <c:v>2.8962017140346878</c:v>
                </c:pt>
                <c:pt idx="19">
                  <c:v>3.735602749178816</c:v>
                </c:pt>
                <c:pt idx="20">
                  <c:v>3.0943106052905547</c:v>
                </c:pt>
                <c:pt idx="21">
                  <c:v>3.5258508326373814</c:v>
                </c:pt>
                <c:pt idx="22">
                  <c:v>3.3764179013073852</c:v>
                </c:pt>
                <c:pt idx="23">
                  <c:v>2.8281039343403043</c:v>
                </c:pt>
                <c:pt idx="24">
                  <c:v>3.1578995162561041</c:v>
                </c:pt>
                <c:pt idx="25">
                  <c:v>3.4287841371363443</c:v>
                </c:pt>
                <c:pt idx="26">
                  <c:v>3.5373805590095575</c:v>
                </c:pt>
                <c:pt idx="27">
                  <c:v>3.166453628914665</c:v>
                </c:pt>
                <c:pt idx="28">
                  <c:v>3.4103426945774711</c:v>
                </c:pt>
                <c:pt idx="29">
                  <c:v>3.0469267159508324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5B-49FB-B875-50F630991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808848"/>
        <c:axId val="2011807408"/>
      </c:scatterChart>
      <c:valAx>
        <c:axId val="201180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Satisfaction_Avg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11807408"/>
        <c:crosses val="autoZero"/>
        <c:crossBetween val="midCat"/>
      </c:valAx>
      <c:valAx>
        <c:axId val="201180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Engagement_Avg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11808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Empathy_Avg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Engagement_Avg</c:v>
          </c:tx>
          <c:spPr>
            <a:ln w="19050">
              <a:noFill/>
            </a:ln>
          </c:spPr>
          <c:xVal>
            <c:numRef>
              <c:f>'Dataset for Regression'!$D$36:$D$65</c:f>
              <c:numCache>
                <c:formatCode>0.00</c:formatCode>
                <c:ptCount val="30"/>
                <c:pt idx="0">
                  <c:v>1.8666666666666667</c:v>
                </c:pt>
                <c:pt idx="1">
                  <c:v>1.4</c:v>
                </c:pt>
                <c:pt idx="2">
                  <c:v>1.7999999999999998</c:v>
                </c:pt>
                <c:pt idx="3">
                  <c:v>2.8333333333333335</c:v>
                </c:pt>
                <c:pt idx="4">
                  <c:v>2.2999999999999998</c:v>
                </c:pt>
                <c:pt idx="5">
                  <c:v>2.2333333333333334</c:v>
                </c:pt>
                <c:pt idx="6">
                  <c:v>3.3666666666666667</c:v>
                </c:pt>
                <c:pt idx="7">
                  <c:v>3.1</c:v>
                </c:pt>
                <c:pt idx="8">
                  <c:v>3.0333333333333332</c:v>
                </c:pt>
                <c:pt idx="9">
                  <c:v>2.2666666666666666</c:v>
                </c:pt>
                <c:pt idx="10">
                  <c:v>3.5333333333333332</c:v>
                </c:pt>
                <c:pt idx="11">
                  <c:v>2.6666666666666665</c:v>
                </c:pt>
                <c:pt idx="12">
                  <c:v>3</c:v>
                </c:pt>
                <c:pt idx="13">
                  <c:v>2.5333333333333332</c:v>
                </c:pt>
                <c:pt idx="14">
                  <c:v>3.5</c:v>
                </c:pt>
                <c:pt idx="15">
                  <c:v>3.1</c:v>
                </c:pt>
                <c:pt idx="16">
                  <c:v>2.6333333333333333</c:v>
                </c:pt>
                <c:pt idx="17">
                  <c:v>1.0666666666666667</c:v>
                </c:pt>
                <c:pt idx="18">
                  <c:v>2.2999999999999998</c:v>
                </c:pt>
                <c:pt idx="19">
                  <c:v>3.1666666666666665</c:v>
                </c:pt>
                <c:pt idx="20">
                  <c:v>2.3333333333333335</c:v>
                </c:pt>
                <c:pt idx="21">
                  <c:v>1.6666666666666667</c:v>
                </c:pt>
                <c:pt idx="22">
                  <c:v>2.1666666666666665</c:v>
                </c:pt>
                <c:pt idx="23">
                  <c:v>2.6666666666666665</c:v>
                </c:pt>
                <c:pt idx="24">
                  <c:v>3.3333333333333335</c:v>
                </c:pt>
                <c:pt idx="25">
                  <c:v>3.5333333333333332</c:v>
                </c:pt>
                <c:pt idx="26">
                  <c:v>3.5833333333333335</c:v>
                </c:pt>
                <c:pt idx="27">
                  <c:v>2.4666666666666668</c:v>
                </c:pt>
                <c:pt idx="28">
                  <c:v>2.7666666666666666</c:v>
                </c:pt>
                <c:pt idx="29">
                  <c:v>3.5</c:v>
                </c:pt>
              </c:numCache>
            </c:numRef>
          </c:xVal>
          <c:yVal>
            <c:numRef>
              <c:f>'Dataset for Regression'!$B$36:$B$65</c:f>
              <c:numCache>
                <c:formatCode>0.00</c:formatCode>
                <c:ptCount val="30"/>
                <c:pt idx="0">
                  <c:v>4</c:v>
                </c:pt>
                <c:pt idx="1">
                  <c:v>1.8</c:v>
                </c:pt>
                <c:pt idx="2">
                  <c:v>3.6</c:v>
                </c:pt>
                <c:pt idx="3">
                  <c:v>3.2</c:v>
                </c:pt>
                <c:pt idx="4">
                  <c:v>2.2000000000000002</c:v>
                </c:pt>
                <c:pt idx="5">
                  <c:v>2.6</c:v>
                </c:pt>
                <c:pt idx="6">
                  <c:v>3.8</c:v>
                </c:pt>
                <c:pt idx="7">
                  <c:v>3</c:v>
                </c:pt>
                <c:pt idx="8">
                  <c:v>2</c:v>
                </c:pt>
                <c:pt idx="9">
                  <c:v>3.4</c:v>
                </c:pt>
                <c:pt idx="10">
                  <c:v>5</c:v>
                </c:pt>
                <c:pt idx="11">
                  <c:v>3.6</c:v>
                </c:pt>
                <c:pt idx="12">
                  <c:v>3.4</c:v>
                </c:pt>
                <c:pt idx="13">
                  <c:v>2.4</c:v>
                </c:pt>
                <c:pt idx="14">
                  <c:v>2.8</c:v>
                </c:pt>
                <c:pt idx="15">
                  <c:v>3.8</c:v>
                </c:pt>
                <c:pt idx="16">
                  <c:v>2.8</c:v>
                </c:pt>
                <c:pt idx="17">
                  <c:v>3</c:v>
                </c:pt>
                <c:pt idx="18">
                  <c:v>2.8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3.2</c:v>
                </c:pt>
                <c:pt idx="23">
                  <c:v>3.4</c:v>
                </c:pt>
                <c:pt idx="24">
                  <c:v>3.2</c:v>
                </c:pt>
                <c:pt idx="25">
                  <c:v>3</c:v>
                </c:pt>
                <c:pt idx="26">
                  <c:v>3.6</c:v>
                </c:pt>
                <c:pt idx="27">
                  <c:v>3.8</c:v>
                </c:pt>
                <c:pt idx="28">
                  <c:v>2.4</c:v>
                </c:pt>
                <c:pt idx="29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1F-485B-AE62-2BDE862ECC86}"/>
            </c:ext>
          </c:extLst>
        </c:ser>
        <c:ser>
          <c:idx val="1"/>
          <c:order val="1"/>
          <c:tx>
            <c:v>Predicted Engagement_Avg</c:v>
          </c:tx>
          <c:spPr>
            <a:ln w="19050">
              <a:noFill/>
            </a:ln>
          </c:spPr>
          <c:xVal>
            <c:numRef>
              <c:f>'Dataset for Regression'!$D$36:$D$65</c:f>
              <c:numCache>
                <c:formatCode>0.00</c:formatCode>
                <c:ptCount val="30"/>
                <c:pt idx="0">
                  <c:v>1.8666666666666667</c:v>
                </c:pt>
                <c:pt idx="1">
                  <c:v>1.4</c:v>
                </c:pt>
                <c:pt idx="2">
                  <c:v>1.7999999999999998</c:v>
                </c:pt>
                <c:pt idx="3">
                  <c:v>2.8333333333333335</c:v>
                </c:pt>
                <c:pt idx="4">
                  <c:v>2.2999999999999998</c:v>
                </c:pt>
                <c:pt idx="5">
                  <c:v>2.2333333333333334</c:v>
                </c:pt>
                <c:pt idx="6">
                  <c:v>3.3666666666666667</c:v>
                </c:pt>
                <c:pt idx="7">
                  <c:v>3.1</c:v>
                </c:pt>
                <c:pt idx="8">
                  <c:v>3.0333333333333332</c:v>
                </c:pt>
                <c:pt idx="9">
                  <c:v>2.2666666666666666</c:v>
                </c:pt>
                <c:pt idx="10">
                  <c:v>3.5333333333333332</c:v>
                </c:pt>
                <c:pt idx="11">
                  <c:v>2.6666666666666665</c:v>
                </c:pt>
                <c:pt idx="12">
                  <c:v>3</c:v>
                </c:pt>
                <c:pt idx="13">
                  <c:v>2.5333333333333332</c:v>
                </c:pt>
                <c:pt idx="14">
                  <c:v>3.5</c:v>
                </c:pt>
                <c:pt idx="15">
                  <c:v>3.1</c:v>
                </c:pt>
                <c:pt idx="16">
                  <c:v>2.6333333333333333</c:v>
                </c:pt>
                <c:pt idx="17">
                  <c:v>1.0666666666666667</c:v>
                </c:pt>
                <c:pt idx="18">
                  <c:v>2.2999999999999998</c:v>
                </c:pt>
                <c:pt idx="19">
                  <c:v>3.1666666666666665</c:v>
                </c:pt>
                <c:pt idx="20">
                  <c:v>2.3333333333333335</c:v>
                </c:pt>
                <c:pt idx="21">
                  <c:v>1.6666666666666667</c:v>
                </c:pt>
                <c:pt idx="22">
                  <c:v>2.1666666666666665</c:v>
                </c:pt>
                <c:pt idx="23">
                  <c:v>2.6666666666666665</c:v>
                </c:pt>
                <c:pt idx="24">
                  <c:v>3.3333333333333335</c:v>
                </c:pt>
                <c:pt idx="25">
                  <c:v>3.5333333333333332</c:v>
                </c:pt>
                <c:pt idx="26">
                  <c:v>3.5833333333333335</c:v>
                </c:pt>
                <c:pt idx="27">
                  <c:v>2.4666666666666668</c:v>
                </c:pt>
                <c:pt idx="28">
                  <c:v>2.7666666666666666</c:v>
                </c:pt>
                <c:pt idx="29">
                  <c:v>3.5</c:v>
                </c:pt>
              </c:numCache>
            </c:numRef>
          </c:xVal>
          <c:yVal>
            <c:numRef>
              <c:f>'Dataset for Regression'!$I$62:$I$91</c:f>
              <c:numCache>
                <c:formatCode>General</c:formatCode>
                <c:ptCount val="30"/>
                <c:pt idx="0">
                  <c:v>3.5577515608257078</c:v>
                </c:pt>
                <c:pt idx="1">
                  <c:v>2.4156063232686162</c:v>
                </c:pt>
                <c:pt idx="2">
                  <c:v>3.7235297593726662</c:v>
                </c:pt>
                <c:pt idx="3">
                  <c:v>2.6431258297130569</c:v>
                </c:pt>
                <c:pt idx="4">
                  <c:v>2.1304728000731417</c:v>
                </c:pt>
                <c:pt idx="5">
                  <c:v>3.6828768611846572</c:v>
                </c:pt>
                <c:pt idx="6">
                  <c:v>3.4769889858860297</c:v>
                </c:pt>
                <c:pt idx="7">
                  <c:v>2.496936544671184</c:v>
                </c:pt>
                <c:pt idx="8">
                  <c:v>2.5737673221567072</c:v>
                </c:pt>
                <c:pt idx="9">
                  <c:v>3.2128024220339655</c:v>
                </c:pt>
                <c:pt idx="10">
                  <c:v>4.4584619518821516</c:v>
                </c:pt>
                <c:pt idx="11">
                  <c:v>3.4609265764355541</c:v>
                </c:pt>
                <c:pt idx="12">
                  <c:v>3.0398650487738834</c:v>
                </c:pt>
                <c:pt idx="13">
                  <c:v>3.1473093575599611</c:v>
                </c:pt>
                <c:pt idx="14">
                  <c:v>2.8512524925289489</c:v>
                </c:pt>
                <c:pt idx="15">
                  <c:v>3.1427593421755238</c:v>
                </c:pt>
                <c:pt idx="16">
                  <c:v>3.26144100372799</c:v>
                </c:pt>
                <c:pt idx="17">
                  <c:v>2.5198508290961494</c:v>
                </c:pt>
                <c:pt idx="18">
                  <c:v>2.8962017140346878</c:v>
                </c:pt>
                <c:pt idx="19">
                  <c:v>3.735602749178816</c:v>
                </c:pt>
                <c:pt idx="20">
                  <c:v>3.0943106052905547</c:v>
                </c:pt>
                <c:pt idx="21">
                  <c:v>3.5258508326373814</c:v>
                </c:pt>
                <c:pt idx="22">
                  <c:v>3.3764179013073852</c:v>
                </c:pt>
                <c:pt idx="23">
                  <c:v>2.8281039343403043</c:v>
                </c:pt>
                <c:pt idx="24">
                  <c:v>3.1578995162561041</c:v>
                </c:pt>
                <c:pt idx="25">
                  <c:v>3.4287841371363443</c:v>
                </c:pt>
                <c:pt idx="26">
                  <c:v>3.5373805590095575</c:v>
                </c:pt>
                <c:pt idx="27">
                  <c:v>3.166453628914665</c:v>
                </c:pt>
                <c:pt idx="28">
                  <c:v>3.4103426945774711</c:v>
                </c:pt>
                <c:pt idx="29">
                  <c:v>3.0469267159508324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1F-485B-AE62-2BDE862EC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788480"/>
        <c:axId val="1292204048"/>
      </c:scatterChart>
      <c:valAx>
        <c:axId val="200978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Empathy_Avg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92204048"/>
        <c:crosses val="autoZero"/>
        <c:crossBetween val="midCat"/>
      </c:valAx>
      <c:valAx>
        <c:axId val="1292204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Engagement_Avg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09788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Personalisation_Avg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Engagement_Avg</c:v>
          </c:tx>
          <c:spPr>
            <a:ln w="19050">
              <a:noFill/>
            </a:ln>
          </c:spPr>
          <c:xVal>
            <c:numRef>
              <c:f>'Dataset for Regression'!$E$36:$E$65</c:f>
              <c:numCache>
                <c:formatCode>0.00</c:formatCode>
                <c:ptCount val="30"/>
                <c:pt idx="0">
                  <c:v>1.8111111111111111</c:v>
                </c:pt>
                <c:pt idx="1">
                  <c:v>1.2333333333333334</c:v>
                </c:pt>
                <c:pt idx="2">
                  <c:v>1.8</c:v>
                </c:pt>
                <c:pt idx="3">
                  <c:v>2.6388888888888888</c:v>
                </c:pt>
                <c:pt idx="4">
                  <c:v>1.8833333333333333</c:v>
                </c:pt>
                <c:pt idx="5">
                  <c:v>3.3722222222222222</c:v>
                </c:pt>
                <c:pt idx="6">
                  <c:v>3.2277777777777779</c:v>
                </c:pt>
                <c:pt idx="7">
                  <c:v>3.85</c:v>
                </c:pt>
                <c:pt idx="8">
                  <c:v>2.338888888888889</c:v>
                </c:pt>
                <c:pt idx="9">
                  <c:v>3.0444444444444443</c:v>
                </c:pt>
                <c:pt idx="10">
                  <c:v>4.7555555555555555</c:v>
                </c:pt>
                <c:pt idx="11">
                  <c:v>2.7777777777777777</c:v>
                </c:pt>
                <c:pt idx="12">
                  <c:v>3</c:v>
                </c:pt>
                <c:pt idx="13">
                  <c:v>3.088888888888889</c:v>
                </c:pt>
                <c:pt idx="14">
                  <c:v>2.9166666666666665</c:v>
                </c:pt>
                <c:pt idx="15">
                  <c:v>2.6833333333333336</c:v>
                </c:pt>
                <c:pt idx="16">
                  <c:v>3.1055555555555556</c:v>
                </c:pt>
                <c:pt idx="17">
                  <c:v>2.3444444444444446</c:v>
                </c:pt>
                <c:pt idx="18">
                  <c:v>3.2166666666666668</c:v>
                </c:pt>
                <c:pt idx="19">
                  <c:v>3.6944444444444446</c:v>
                </c:pt>
                <c:pt idx="20">
                  <c:v>2.8888888888888888</c:v>
                </c:pt>
                <c:pt idx="21">
                  <c:v>2.2777777777777777</c:v>
                </c:pt>
                <c:pt idx="22">
                  <c:v>2.3611111111111112</c:v>
                </c:pt>
                <c:pt idx="23">
                  <c:v>2.2777777777777777</c:v>
                </c:pt>
                <c:pt idx="24">
                  <c:v>3.0555555555555554</c:v>
                </c:pt>
                <c:pt idx="25">
                  <c:v>3.2555555555555555</c:v>
                </c:pt>
                <c:pt idx="26">
                  <c:v>2.5972222222222223</c:v>
                </c:pt>
                <c:pt idx="27">
                  <c:v>3.0777777777777779</c:v>
                </c:pt>
                <c:pt idx="28">
                  <c:v>3.2944444444444443</c:v>
                </c:pt>
                <c:pt idx="29">
                  <c:v>3.4166666666666665</c:v>
                </c:pt>
              </c:numCache>
            </c:numRef>
          </c:xVal>
          <c:yVal>
            <c:numRef>
              <c:f>'Dataset for Regression'!$B$36:$B$65</c:f>
              <c:numCache>
                <c:formatCode>0.00</c:formatCode>
                <c:ptCount val="30"/>
                <c:pt idx="0">
                  <c:v>4</c:v>
                </c:pt>
                <c:pt idx="1">
                  <c:v>1.8</c:v>
                </c:pt>
                <c:pt idx="2">
                  <c:v>3.6</c:v>
                </c:pt>
                <c:pt idx="3">
                  <c:v>3.2</c:v>
                </c:pt>
                <c:pt idx="4">
                  <c:v>2.2000000000000002</c:v>
                </c:pt>
                <c:pt idx="5">
                  <c:v>2.6</c:v>
                </c:pt>
                <c:pt idx="6">
                  <c:v>3.8</c:v>
                </c:pt>
                <c:pt idx="7">
                  <c:v>3</c:v>
                </c:pt>
                <c:pt idx="8">
                  <c:v>2</c:v>
                </c:pt>
                <c:pt idx="9">
                  <c:v>3.4</c:v>
                </c:pt>
                <c:pt idx="10">
                  <c:v>5</c:v>
                </c:pt>
                <c:pt idx="11">
                  <c:v>3.6</c:v>
                </c:pt>
                <c:pt idx="12">
                  <c:v>3.4</c:v>
                </c:pt>
                <c:pt idx="13">
                  <c:v>2.4</c:v>
                </c:pt>
                <c:pt idx="14">
                  <c:v>2.8</c:v>
                </c:pt>
                <c:pt idx="15">
                  <c:v>3.8</c:v>
                </c:pt>
                <c:pt idx="16">
                  <c:v>2.8</c:v>
                </c:pt>
                <c:pt idx="17">
                  <c:v>3</c:v>
                </c:pt>
                <c:pt idx="18">
                  <c:v>2.8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3.2</c:v>
                </c:pt>
                <c:pt idx="23">
                  <c:v>3.4</c:v>
                </c:pt>
                <c:pt idx="24">
                  <c:v>3.2</c:v>
                </c:pt>
                <c:pt idx="25">
                  <c:v>3</c:v>
                </c:pt>
                <c:pt idx="26">
                  <c:v>3.6</c:v>
                </c:pt>
                <c:pt idx="27">
                  <c:v>3.8</c:v>
                </c:pt>
                <c:pt idx="28">
                  <c:v>2.4</c:v>
                </c:pt>
                <c:pt idx="29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9-4308-9B8D-53CE49DCE05B}"/>
            </c:ext>
          </c:extLst>
        </c:ser>
        <c:ser>
          <c:idx val="1"/>
          <c:order val="1"/>
          <c:tx>
            <c:v>Predicted Engagement_Avg</c:v>
          </c:tx>
          <c:spPr>
            <a:ln w="19050">
              <a:noFill/>
            </a:ln>
          </c:spPr>
          <c:xVal>
            <c:numRef>
              <c:f>'Dataset for Regression'!$E$36:$E$65</c:f>
              <c:numCache>
                <c:formatCode>0.00</c:formatCode>
                <c:ptCount val="30"/>
                <c:pt idx="0">
                  <c:v>1.8111111111111111</c:v>
                </c:pt>
                <c:pt idx="1">
                  <c:v>1.2333333333333334</c:v>
                </c:pt>
                <c:pt idx="2">
                  <c:v>1.8</c:v>
                </c:pt>
                <c:pt idx="3">
                  <c:v>2.6388888888888888</c:v>
                </c:pt>
                <c:pt idx="4">
                  <c:v>1.8833333333333333</c:v>
                </c:pt>
                <c:pt idx="5">
                  <c:v>3.3722222222222222</c:v>
                </c:pt>
                <c:pt idx="6">
                  <c:v>3.2277777777777779</c:v>
                </c:pt>
                <c:pt idx="7">
                  <c:v>3.85</c:v>
                </c:pt>
                <c:pt idx="8">
                  <c:v>2.338888888888889</c:v>
                </c:pt>
                <c:pt idx="9">
                  <c:v>3.0444444444444443</c:v>
                </c:pt>
                <c:pt idx="10">
                  <c:v>4.7555555555555555</c:v>
                </c:pt>
                <c:pt idx="11">
                  <c:v>2.7777777777777777</c:v>
                </c:pt>
                <c:pt idx="12">
                  <c:v>3</c:v>
                </c:pt>
                <c:pt idx="13">
                  <c:v>3.088888888888889</c:v>
                </c:pt>
                <c:pt idx="14">
                  <c:v>2.9166666666666665</c:v>
                </c:pt>
                <c:pt idx="15">
                  <c:v>2.6833333333333336</c:v>
                </c:pt>
                <c:pt idx="16">
                  <c:v>3.1055555555555556</c:v>
                </c:pt>
                <c:pt idx="17">
                  <c:v>2.3444444444444446</c:v>
                </c:pt>
                <c:pt idx="18">
                  <c:v>3.2166666666666668</c:v>
                </c:pt>
                <c:pt idx="19">
                  <c:v>3.6944444444444446</c:v>
                </c:pt>
                <c:pt idx="20">
                  <c:v>2.8888888888888888</c:v>
                </c:pt>
                <c:pt idx="21">
                  <c:v>2.2777777777777777</c:v>
                </c:pt>
                <c:pt idx="22">
                  <c:v>2.3611111111111112</c:v>
                </c:pt>
                <c:pt idx="23">
                  <c:v>2.2777777777777777</c:v>
                </c:pt>
                <c:pt idx="24">
                  <c:v>3.0555555555555554</c:v>
                </c:pt>
                <c:pt idx="25">
                  <c:v>3.2555555555555555</c:v>
                </c:pt>
                <c:pt idx="26">
                  <c:v>2.5972222222222223</c:v>
                </c:pt>
                <c:pt idx="27">
                  <c:v>3.0777777777777779</c:v>
                </c:pt>
                <c:pt idx="28">
                  <c:v>3.2944444444444443</c:v>
                </c:pt>
                <c:pt idx="29">
                  <c:v>3.4166666666666665</c:v>
                </c:pt>
              </c:numCache>
            </c:numRef>
          </c:xVal>
          <c:yVal>
            <c:numRef>
              <c:f>'Dataset for Regression'!$I$62:$I$91</c:f>
              <c:numCache>
                <c:formatCode>General</c:formatCode>
                <c:ptCount val="30"/>
                <c:pt idx="0">
                  <c:v>3.5577515608257078</c:v>
                </c:pt>
                <c:pt idx="1">
                  <c:v>2.4156063232686162</c:v>
                </c:pt>
                <c:pt idx="2">
                  <c:v>3.7235297593726662</c:v>
                </c:pt>
                <c:pt idx="3">
                  <c:v>2.6431258297130569</c:v>
                </c:pt>
                <c:pt idx="4">
                  <c:v>2.1304728000731417</c:v>
                </c:pt>
                <c:pt idx="5">
                  <c:v>3.6828768611846572</c:v>
                </c:pt>
                <c:pt idx="6">
                  <c:v>3.4769889858860297</c:v>
                </c:pt>
                <c:pt idx="7">
                  <c:v>2.496936544671184</c:v>
                </c:pt>
                <c:pt idx="8">
                  <c:v>2.5737673221567072</c:v>
                </c:pt>
                <c:pt idx="9">
                  <c:v>3.2128024220339655</c:v>
                </c:pt>
                <c:pt idx="10">
                  <c:v>4.4584619518821516</c:v>
                </c:pt>
                <c:pt idx="11">
                  <c:v>3.4609265764355541</c:v>
                </c:pt>
                <c:pt idx="12">
                  <c:v>3.0398650487738834</c:v>
                </c:pt>
                <c:pt idx="13">
                  <c:v>3.1473093575599611</c:v>
                </c:pt>
                <c:pt idx="14">
                  <c:v>2.8512524925289489</c:v>
                </c:pt>
                <c:pt idx="15">
                  <c:v>3.1427593421755238</c:v>
                </c:pt>
                <c:pt idx="16">
                  <c:v>3.26144100372799</c:v>
                </c:pt>
                <c:pt idx="17">
                  <c:v>2.5198508290961494</c:v>
                </c:pt>
                <c:pt idx="18">
                  <c:v>2.8962017140346878</c:v>
                </c:pt>
                <c:pt idx="19">
                  <c:v>3.735602749178816</c:v>
                </c:pt>
                <c:pt idx="20">
                  <c:v>3.0943106052905547</c:v>
                </c:pt>
                <c:pt idx="21">
                  <c:v>3.5258508326373814</c:v>
                </c:pt>
                <c:pt idx="22">
                  <c:v>3.3764179013073852</c:v>
                </c:pt>
                <c:pt idx="23">
                  <c:v>2.8281039343403043</c:v>
                </c:pt>
                <c:pt idx="24">
                  <c:v>3.1578995162561041</c:v>
                </c:pt>
                <c:pt idx="25">
                  <c:v>3.4287841371363443</c:v>
                </c:pt>
                <c:pt idx="26">
                  <c:v>3.5373805590095575</c:v>
                </c:pt>
                <c:pt idx="27">
                  <c:v>3.166453628914665</c:v>
                </c:pt>
                <c:pt idx="28">
                  <c:v>3.4103426945774711</c:v>
                </c:pt>
                <c:pt idx="29">
                  <c:v>3.0469267159508324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49-4308-9B8D-53CE49DCE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347232"/>
        <c:axId val="1998346272"/>
      </c:scatterChart>
      <c:valAx>
        <c:axId val="199834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Personalisation_Avg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98346272"/>
        <c:crosses val="autoZero"/>
        <c:crossBetween val="midCat"/>
      </c:valAx>
      <c:valAx>
        <c:axId val="1998346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Engagement_Avg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98347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Trust_Avg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Engagement_Avg</c:v>
          </c:tx>
          <c:spPr>
            <a:ln w="19050">
              <a:noFill/>
            </a:ln>
          </c:spPr>
          <c:xVal>
            <c:numRef>
              <c:f>'Dataset for Regression'!$F$36:$F$65</c:f>
              <c:numCache>
                <c:formatCode>0.00</c:formatCode>
                <c:ptCount val="30"/>
                <c:pt idx="0">
                  <c:v>3.3333333333333335</c:v>
                </c:pt>
                <c:pt idx="1">
                  <c:v>2</c:v>
                </c:pt>
                <c:pt idx="2">
                  <c:v>3.8</c:v>
                </c:pt>
                <c:pt idx="3">
                  <c:v>2.2999999999999998</c:v>
                </c:pt>
                <c:pt idx="4">
                  <c:v>2.0666666666666664</c:v>
                </c:pt>
                <c:pt idx="5">
                  <c:v>3.4</c:v>
                </c:pt>
                <c:pt idx="6">
                  <c:v>3.3666666666666667</c:v>
                </c:pt>
                <c:pt idx="7">
                  <c:v>2</c:v>
                </c:pt>
                <c:pt idx="8">
                  <c:v>2.7333333333333334</c:v>
                </c:pt>
                <c:pt idx="9">
                  <c:v>2.8</c:v>
                </c:pt>
                <c:pt idx="10">
                  <c:v>4.8666666666666671</c:v>
                </c:pt>
                <c:pt idx="11">
                  <c:v>3.9666666666666668</c:v>
                </c:pt>
                <c:pt idx="12">
                  <c:v>3</c:v>
                </c:pt>
                <c:pt idx="13">
                  <c:v>2.7</c:v>
                </c:pt>
                <c:pt idx="14">
                  <c:v>3.4</c:v>
                </c:pt>
                <c:pt idx="15">
                  <c:v>3.2333333333333334</c:v>
                </c:pt>
                <c:pt idx="16">
                  <c:v>2.7666666666666666</c:v>
                </c:pt>
                <c:pt idx="17">
                  <c:v>1.7333333333333334</c:v>
                </c:pt>
                <c:pt idx="18">
                  <c:v>2</c:v>
                </c:pt>
                <c:pt idx="19">
                  <c:v>3.6666666666666665</c:v>
                </c:pt>
                <c:pt idx="20">
                  <c:v>2.9333333333333336</c:v>
                </c:pt>
                <c:pt idx="21">
                  <c:v>2.9666666666666668</c:v>
                </c:pt>
                <c:pt idx="22">
                  <c:v>2.833333333333333</c:v>
                </c:pt>
                <c:pt idx="23">
                  <c:v>3.0666666666666664</c:v>
                </c:pt>
                <c:pt idx="24">
                  <c:v>3.3666666666666667</c:v>
                </c:pt>
                <c:pt idx="25">
                  <c:v>3.6333333333333333</c:v>
                </c:pt>
                <c:pt idx="26">
                  <c:v>4.4333333333333336</c:v>
                </c:pt>
                <c:pt idx="27">
                  <c:v>2.5666666666666664</c:v>
                </c:pt>
                <c:pt idx="28">
                  <c:v>3.3666666666666667</c:v>
                </c:pt>
                <c:pt idx="29">
                  <c:v>3.0333333333333332</c:v>
                </c:pt>
              </c:numCache>
            </c:numRef>
          </c:xVal>
          <c:yVal>
            <c:numRef>
              <c:f>'Dataset for Regression'!$B$36:$B$65</c:f>
              <c:numCache>
                <c:formatCode>0.00</c:formatCode>
                <c:ptCount val="30"/>
                <c:pt idx="0">
                  <c:v>4</c:v>
                </c:pt>
                <c:pt idx="1">
                  <c:v>1.8</c:v>
                </c:pt>
                <c:pt idx="2">
                  <c:v>3.6</c:v>
                </c:pt>
                <c:pt idx="3">
                  <c:v>3.2</c:v>
                </c:pt>
                <c:pt idx="4">
                  <c:v>2.2000000000000002</c:v>
                </c:pt>
                <c:pt idx="5">
                  <c:v>2.6</c:v>
                </c:pt>
                <c:pt idx="6">
                  <c:v>3.8</c:v>
                </c:pt>
                <c:pt idx="7">
                  <c:v>3</c:v>
                </c:pt>
                <c:pt idx="8">
                  <c:v>2</c:v>
                </c:pt>
                <c:pt idx="9">
                  <c:v>3.4</c:v>
                </c:pt>
                <c:pt idx="10">
                  <c:v>5</c:v>
                </c:pt>
                <c:pt idx="11">
                  <c:v>3.6</c:v>
                </c:pt>
                <c:pt idx="12">
                  <c:v>3.4</c:v>
                </c:pt>
                <c:pt idx="13">
                  <c:v>2.4</c:v>
                </c:pt>
                <c:pt idx="14">
                  <c:v>2.8</c:v>
                </c:pt>
                <c:pt idx="15">
                  <c:v>3.8</c:v>
                </c:pt>
                <c:pt idx="16">
                  <c:v>2.8</c:v>
                </c:pt>
                <c:pt idx="17">
                  <c:v>3</c:v>
                </c:pt>
                <c:pt idx="18">
                  <c:v>2.8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3.2</c:v>
                </c:pt>
                <c:pt idx="23">
                  <c:v>3.4</c:v>
                </c:pt>
                <c:pt idx="24">
                  <c:v>3.2</c:v>
                </c:pt>
                <c:pt idx="25">
                  <c:v>3</c:v>
                </c:pt>
                <c:pt idx="26">
                  <c:v>3.6</c:v>
                </c:pt>
                <c:pt idx="27">
                  <c:v>3.8</c:v>
                </c:pt>
                <c:pt idx="28">
                  <c:v>2.4</c:v>
                </c:pt>
                <c:pt idx="29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56-44C2-8615-C8617EC6B652}"/>
            </c:ext>
          </c:extLst>
        </c:ser>
        <c:ser>
          <c:idx val="1"/>
          <c:order val="1"/>
          <c:tx>
            <c:v>Predicted Engagement_Avg</c:v>
          </c:tx>
          <c:spPr>
            <a:ln w="19050">
              <a:noFill/>
            </a:ln>
          </c:spPr>
          <c:xVal>
            <c:numRef>
              <c:f>'Dataset for Regression'!$F$36:$F$65</c:f>
              <c:numCache>
                <c:formatCode>0.00</c:formatCode>
                <c:ptCount val="30"/>
                <c:pt idx="0">
                  <c:v>3.3333333333333335</c:v>
                </c:pt>
                <c:pt idx="1">
                  <c:v>2</c:v>
                </c:pt>
                <c:pt idx="2">
                  <c:v>3.8</c:v>
                </c:pt>
                <c:pt idx="3">
                  <c:v>2.2999999999999998</c:v>
                </c:pt>
                <c:pt idx="4">
                  <c:v>2.0666666666666664</c:v>
                </c:pt>
                <c:pt idx="5">
                  <c:v>3.4</c:v>
                </c:pt>
                <c:pt idx="6">
                  <c:v>3.3666666666666667</c:v>
                </c:pt>
                <c:pt idx="7">
                  <c:v>2</c:v>
                </c:pt>
                <c:pt idx="8">
                  <c:v>2.7333333333333334</c:v>
                </c:pt>
                <c:pt idx="9">
                  <c:v>2.8</c:v>
                </c:pt>
                <c:pt idx="10">
                  <c:v>4.8666666666666671</c:v>
                </c:pt>
                <c:pt idx="11">
                  <c:v>3.9666666666666668</c:v>
                </c:pt>
                <c:pt idx="12">
                  <c:v>3</c:v>
                </c:pt>
                <c:pt idx="13">
                  <c:v>2.7</c:v>
                </c:pt>
                <c:pt idx="14">
                  <c:v>3.4</c:v>
                </c:pt>
                <c:pt idx="15">
                  <c:v>3.2333333333333334</c:v>
                </c:pt>
                <c:pt idx="16">
                  <c:v>2.7666666666666666</c:v>
                </c:pt>
                <c:pt idx="17">
                  <c:v>1.7333333333333334</c:v>
                </c:pt>
                <c:pt idx="18">
                  <c:v>2</c:v>
                </c:pt>
                <c:pt idx="19">
                  <c:v>3.6666666666666665</c:v>
                </c:pt>
                <c:pt idx="20">
                  <c:v>2.9333333333333336</c:v>
                </c:pt>
                <c:pt idx="21">
                  <c:v>2.9666666666666668</c:v>
                </c:pt>
                <c:pt idx="22">
                  <c:v>2.833333333333333</c:v>
                </c:pt>
                <c:pt idx="23">
                  <c:v>3.0666666666666664</c:v>
                </c:pt>
                <c:pt idx="24">
                  <c:v>3.3666666666666667</c:v>
                </c:pt>
                <c:pt idx="25">
                  <c:v>3.6333333333333333</c:v>
                </c:pt>
                <c:pt idx="26">
                  <c:v>4.4333333333333336</c:v>
                </c:pt>
                <c:pt idx="27">
                  <c:v>2.5666666666666664</c:v>
                </c:pt>
                <c:pt idx="28">
                  <c:v>3.3666666666666667</c:v>
                </c:pt>
                <c:pt idx="29">
                  <c:v>3.0333333333333332</c:v>
                </c:pt>
              </c:numCache>
            </c:numRef>
          </c:xVal>
          <c:yVal>
            <c:numRef>
              <c:f>'Dataset for Regression'!$I$62:$I$91</c:f>
              <c:numCache>
                <c:formatCode>General</c:formatCode>
                <c:ptCount val="30"/>
                <c:pt idx="0">
                  <c:v>3.5577515608257078</c:v>
                </c:pt>
                <c:pt idx="1">
                  <c:v>2.4156063232686162</c:v>
                </c:pt>
                <c:pt idx="2">
                  <c:v>3.7235297593726662</c:v>
                </c:pt>
                <c:pt idx="3">
                  <c:v>2.6431258297130569</c:v>
                </c:pt>
                <c:pt idx="4">
                  <c:v>2.1304728000731417</c:v>
                </c:pt>
                <c:pt idx="5">
                  <c:v>3.6828768611846572</c:v>
                </c:pt>
                <c:pt idx="6">
                  <c:v>3.4769889858860297</c:v>
                </c:pt>
                <c:pt idx="7">
                  <c:v>2.496936544671184</c:v>
                </c:pt>
                <c:pt idx="8">
                  <c:v>2.5737673221567072</c:v>
                </c:pt>
                <c:pt idx="9">
                  <c:v>3.2128024220339655</c:v>
                </c:pt>
                <c:pt idx="10">
                  <c:v>4.4584619518821516</c:v>
                </c:pt>
                <c:pt idx="11">
                  <c:v>3.4609265764355541</c:v>
                </c:pt>
                <c:pt idx="12">
                  <c:v>3.0398650487738834</c:v>
                </c:pt>
                <c:pt idx="13">
                  <c:v>3.1473093575599611</c:v>
                </c:pt>
                <c:pt idx="14">
                  <c:v>2.8512524925289489</c:v>
                </c:pt>
                <c:pt idx="15">
                  <c:v>3.1427593421755238</c:v>
                </c:pt>
                <c:pt idx="16">
                  <c:v>3.26144100372799</c:v>
                </c:pt>
                <c:pt idx="17">
                  <c:v>2.5198508290961494</c:v>
                </c:pt>
                <c:pt idx="18">
                  <c:v>2.8962017140346878</c:v>
                </c:pt>
                <c:pt idx="19">
                  <c:v>3.735602749178816</c:v>
                </c:pt>
                <c:pt idx="20">
                  <c:v>3.0943106052905547</c:v>
                </c:pt>
                <c:pt idx="21">
                  <c:v>3.5258508326373814</c:v>
                </c:pt>
                <c:pt idx="22">
                  <c:v>3.3764179013073852</c:v>
                </c:pt>
                <c:pt idx="23">
                  <c:v>2.8281039343403043</c:v>
                </c:pt>
                <c:pt idx="24">
                  <c:v>3.1578995162561041</c:v>
                </c:pt>
                <c:pt idx="25">
                  <c:v>3.4287841371363443</c:v>
                </c:pt>
                <c:pt idx="26">
                  <c:v>3.5373805590095575</c:v>
                </c:pt>
                <c:pt idx="27">
                  <c:v>3.166453628914665</c:v>
                </c:pt>
                <c:pt idx="28">
                  <c:v>3.4103426945774711</c:v>
                </c:pt>
                <c:pt idx="29">
                  <c:v>3.0469267159508324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56-44C2-8615-C8617EC6B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804528"/>
        <c:axId val="2011805008"/>
      </c:scatterChart>
      <c:valAx>
        <c:axId val="201180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Trust_Avg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11805008"/>
        <c:crosses val="autoZero"/>
        <c:crossBetween val="midCat"/>
      </c:valAx>
      <c:valAx>
        <c:axId val="2011805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Engagement_Avg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118045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65315</xdr:colOff>
      <xdr:row>1</xdr:row>
      <xdr:rowOff>106446</xdr:rowOff>
    </xdr:from>
    <xdr:to>
      <xdr:col>21</xdr:col>
      <xdr:colOff>532291</xdr:colOff>
      <xdr:row>17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A6B76-5FEA-5114-96E2-DA7412A54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499182</xdr:colOff>
      <xdr:row>1</xdr:row>
      <xdr:rowOff>33427</xdr:rowOff>
    </xdr:from>
    <xdr:to>
      <xdr:col>17</xdr:col>
      <xdr:colOff>468702</xdr:colOff>
      <xdr:row>18</xdr:row>
      <xdr:rowOff>82957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B81E5-0109-8BDB-1628-CEA244684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606994</xdr:colOff>
      <xdr:row>13</xdr:row>
      <xdr:rowOff>77427</xdr:rowOff>
    </xdr:from>
    <xdr:to>
      <xdr:col>16</xdr:col>
      <xdr:colOff>719191</xdr:colOff>
      <xdr:row>27</xdr:row>
      <xdr:rowOff>59933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14E85EF-06B2-D019-C013-4F6F897AFDA9}"/>
            </a:ext>
          </a:extLst>
        </xdr:cNvPr>
        <xdr:cNvSpPr txBox="1"/>
      </xdr:nvSpPr>
      <xdr:spPr>
        <a:xfrm>
          <a:off x="13098657" y="2431921"/>
          <a:ext cx="4470152" cy="249967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Variables with high</a:t>
          </a:r>
          <a:r>
            <a:rPr lang="en-GB" sz="1100" baseline="0"/>
            <a:t> multicollinearity (&gt;0.75)</a:t>
          </a:r>
        </a:p>
        <a:p>
          <a:endParaRPr lang="en-GB" sz="1100" baseline="0"/>
        </a:p>
        <a:p>
          <a:r>
            <a:rPr lang="en-GB" sz="1100" baseline="0"/>
            <a:t>1) Ease of Use </a:t>
          </a:r>
        </a:p>
        <a:p>
          <a:r>
            <a:rPr lang="en-GB" sz="1100" baseline="0"/>
            <a:t>2) Accuracy </a:t>
          </a:r>
        </a:p>
        <a:p>
          <a:r>
            <a:rPr lang="en-GB" sz="1100" baseline="0"/>
            <a:t>3) Helpfulness</a:t>
          </a:r>
        </a:p>
        <a:p>
          <a:r>
            <a:rPr lang="en-GB" sz="1100" baseline="0"/>
            <a:t>4) Convenience </a:t>
          </a:r>
        </a:p>
        <a:p>
          <a:r>
            <a:rPr lang="en-GB" sz="1100" baseline="0"/>
            <a:t>5) Speed </a:t>
          </a:r>
        </a:p>
        <a:p>
          <a:endParaRPr lang="en-GB" sz="1100" baseline="0"/>
        </a:p>
        <a:p>
          <a:r>
            <a:rPr lang="en-GB" sz="1100" baseline="0"/>
            <a:t>Because these variables have high multicollinearity, they have been dropped from the model. The final four variables: empathy, satisfaction, trust and personalisation remain in the model, as they all have a distinct type of influence and low multicollinearity between them. </a:t>
          </a:r>
        </a:p>
      </xdr:txBody>
    </xdr:sp>
    <xdr:clientData/>
  </xdr:twoCellAnchor>
  <xdr:twoCellAnchor>
    <xdr:from>
      <xdr:col>42</xdr:col>
      <xdr:colOff>530678</xdr:colOff>
      <xdr:row>44</xdr:row>
      <xdr:rowOff>100694</xdr:rowOff>
    </xdr:from>
    <xdr:to>
      <xdr:col>50</xdr:col>
      <xdr:colOff>163286</xdr:colOff>
      <xdr:row>54</xdr:row>
      <xdr:rowOff>102327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3E6E7-C1CC-D439-B328-649E9A62B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285750</xdr:colOff>
      <xdr:row>44</xdr:row>
      <xdr:rowOff>135528</xdr:rowOff>
    </xdr:from>
    <xdr:to>
      <xdr:col>42</xdr:col>
      <xdr:colOff>122464</xdr:colOff>
      <xdr:row>54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8F4818-345B-C68E-7D4F-8AA51F625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13606</xdr:colOff>
      <xdr:row>44</xdr:row>
      <xdr:rowOff>127908</xdr:rowOff>
    </xdr:from>
    <xdr:to>
      <xdr:col>33</xdr:col>
      <xdr:colOff>272143</xdr:colOff>
      <xdr:row>54</xdr:row>
      <xdr:rowOff>123553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4A8395-5FD5-14DC-F23B-F67F4BF9D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653143</xdr:colOff>
      <xdr:row>44</xdr:row>
      <xdr:rowOff>141514</xdr:rowOff>
    </xdr:from>
    <xdr:to>
      <xdr:col>24</xdr:col>
      <xdr:colOff>476251</xdr:colOff>
      <xdr:row>54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488465-5983-4A43-8FE5-057EE1636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381000</xdr:colOff>
      <xdr:row>29</xdr:row>
      <xdr:rowOff>135527</xdr:rowOff>
    </xdr:from>
    <xdr:to>
      <xdr:col>42</xdr:col>
      <xdr:colOff>394608</xdr:colOff>
      <xdr:row>39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291D46-5C4D-F2FC-D15C-49278635F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373708</xdr:colOff>
      <xdr:row>29</xdr:row>
      <xdr:rowOff>141846</xdr:rowOff>
    </xdr:from>
    <xdr:to>
      <xdr:col>34</xdr:col>
      <xdr:colOff>313552</xdr:colOff>
      <xdr:row>39</xdr:row>
      <xdr:rowOff>137032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78B2EA-3560-B9AF-B31A-66A7415A0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691816</xdr:colOff>
      <xdr:row>29</xdr:row>
      <xdr:rowOff>129540</xdr:rowOff>
    </xdr:from>
    <xdr:to>
      <xdr:col>26</xdr:col>
      <xdr:colOff>451184</xdr:colOff>
      <xdr:row>39</xdr:row>
      <xdr:rowOff>132347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5913E0-8F89-BD8A-14BC-0389AF7B7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308558</xdr:colOff>
      <xdr:row>29</xdr:row>
      <xdr:rowOff>126428</xdr:rowOff>
    </xdr:from>
    <xdr:to>
      <xdr:col>20</xdr:col>
      <xdr:colOff>126107</xdr:colOff>
      <xdr:row>39</xdr:row>
      <xdr:rowOff>130935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A5D5FEF-831A-2CC1-D8EE-9414BF1C3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 nelson" refreshedDate="45987.663610763891" createdVersion="8" refreshedVersion="8" minRefreshableVersion="3" recordCount="10" xr:uid="{7CAB92C9-B0EF-45BB-A453-A1A8478931A4}">
  <cacheSource type="worksheet">
    <worksheetSource ref="I39:N49" sheet="New Clean"/>
  </cacheSource>
  <cacheFields count="6">
    <cacheField name="Item" numFmtId="0">
      <sharedItems count="10">
        <s v="Usage "/>
        <s v="Satisfaction"/>
        <s v="Trust"/>
        <s v="Ease of Use"/>
        <s v="Helpfulness"/>
        <s v="Convenience"/>
        <s v="Speed"/>
        <s v="Accuracy"/>
        <s v="Empathy"/>
        <s v="Personalisation"/>
      </sharedItems>
    </cacheField>
    <cacheField name="Strongly Agree" numFmtId="0">
      <sharedItems containsSemiMixedTypes="0" containsString="0" containsNumber="1" containsInteger="1" minValue="7" maxValue="23"/>
    </cacheField>
    <cacheField name="Agree" numFmtId="0">
      <sharedItems containsSemiMixedTypes="0" containsString="0" containsNumber="1" containsInteger="1" minValue="23" maxValue="66"/>
    </cacheField>
    <cacheField name="Neutral" numFmtId="0">
      <sharedItems containsSemiMixedTypes="0" containsString="0" containsNumber="1" containsInteger="1" minValue="17" maxValue="61"/>
    </cacheField>
    <cacheField name="Disagree" numFmtId="0">
      <sharedItems containsSemiMixedTypes="0" containsString="0" containsNumber="1" containsInteger="1" minValue="10" maxValue="39"/>
    </cacheField>
    <cacheField name="Strongly Disagree" numFmtId="0">
      <sharedItems containsSemiMixedTypes="0" containsString="0" containsNumber="1" containsInteger="1" minValue="4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 nelson" refreshedDate="45987.683966666664" createdVersion="8" refreshedVersion="8" minRefreshableVersion="3" recordCount="30" xr:uid="{AA59500B-0B96-4488-B5E8-52B5B43F8559}">
  <cacheSource type="worksheet">
    <worksheetSource name="New_Clean"/>
  </cacheSource>
  <cacheFields count="71">
    <cacheField name="Id" numFmtId="0">
      <sharedItems containsSemiMixedTypes="0" containsString="0" containsNumber="1" containsInteger="1" minValue="1" maxValue="30"/>
    </cacheField>
    <cacheField name="Start time" numFmtId="0">
      <sharedItems containsSemiMixedTypes="0" containsString="0" containsNumber="1" minValue="45907.67596064815" maxValue="45984.504699074074"/>
    </cacheField>
    <cacheField name="Completion time" numFmtId="0">
      <sharedItems containsSemiMixedTypes="0" containsString="0" containsNumber="1" minValue="45907.688657407409" maxValue="45984.511446759258"/>
    </cacheField>
    <cacheField name="Email" numFmtId="0">
      <sharedItems/>
    </cacheField>
    <cacheField name="Name" numFmtId="0">
      <sharedItems containsNonDate="0" containsString="0" containsBlank="1"/>
    </cacheField>
    <cacheField name="What is your age?_x000a_" numFmtId="0">
      <sharedItems/>
    </cacheField>
    <cacheField name="What is your gender?" numFmtId="0">
      <sharedItems/>
    </cacheField>
    <cacheField name="What is the highest level of education that you have completed?" numFmtId="0">
      <sharedItems/>
    </cacheField>
    <cacheField name="What is your employment status?_x000a_" numFmtId="0">
      <sharedItems/>
    </cacheField>
    <cacheField name="What is your marital status?_x000a_" numFmtId="0">
      <sharedItems/>
    </cacheField>
    <cacheField name="What is your country of residence?_x000a_" numFmtId="0">
      <sharedItems count="4">
        <s v="England"/>
        <s v="Scotland"/>
        <s v="Prefer not to say"/>
        <s v="Outside the UK"/>
      </sharedItems>
    </cacheField>
    <cacheField name="What is your ethnic group?_x000a_" numFmtId="0">
      <sharedItems/>
    </cacheField>
    <cacheField name="Which bank or banks do you currently use (please select all that apply)" numFmtId="0">
      <sharedItems containsBlank="1"/>
    </cacheField>
    <cacheField name="What is your primary language?" numFmtId="0">
      <sharedItems containsBlank="1"/>
    </cacheField>
    <cacheField name="Usage _x000a_.I frequently use the banks chatbot to get support. " numFmtId="0">
      <sharedItems containsSemiMixedTypes="0" containsString="0" containsNumber="1" containsInteger="1" minValue="1" maxValue="5"/>
    </cacheField>
    <cacheField name="Usage _x000a_.Using the chatbot has become a natural part of my banking routine." numFmtId="0">
      <sharedItems containsSemiMixedTypes="0" containsString="0" containsNumber="1" containsInteger="1" minValue="1" maxValue="5"/>
    </cacheField>
    <cacheField name="Usage _x000a_.It is easy for me to start a conversation with the chatbot whenever I need help." numFmtId="0">
      <sharedItems containsSemiMixedTypes="0" containsString="0" containsNumber="1" containsInteger="1" minValue="1" maxValue="5"/>
    </cacheField>
    <cacheField name="Usage _x000a_.I have no difficulty remembering how to use the chatbot features. " numFmtId="0">
      <sharedItems containsSemiMixedTypes="0" containsString="0" containsNumber="1" containsInteger="1" minValue="1" maxValue="5"/>
    </cacheField>
    <cacheField name="Usage _x000a_.I intend to continue using the chatbot in future." numFmtId="0">
      <sharedItems containsSemiMixedTypes="0" containsString="0" containsNumber="1" containsInteger="1" minValue="1" maxValue="5"/>
    </cacheField>
    <cacheField name="Satisfaction.I am satisfied with the bank’s  chatbot service." numFmtId="0">
      <sharedItems containsSemiMixedTypes="0" containsString="0" containsNumber="1" containsInteger="1" minValue="1" maxValue="5"/>
    </cacheField>
    <cacheField name="Satisfaction.The chatbot did a good job." numFmtId="0">
      <sharedItems containsSemiMixedTypes="0" containsString="0" containsNumber="1" containsInteger="1" minValue="1" maxValue="5"/>
    </cacheField>
    <cacheField name="Satisfaction.The chatbot did what I expected." numFmtId="0">
      <sharedItems containsSemiMixedTypes="0" containsString="0" containsNumber="1" containsInteger="1" minValue="1" maxValue="5"/>
    </cacheField>
    <cacheField name="Satisfaction.I am happy with the experience that I had with the chatbot. " numFmtId="0">
      <sharedItems containsSemiMixedTypes="0" containsString="0" containsNumber="1" containsInteger="1" minValue="1" maxValue="5"/>
    </cacheField>
    <cacheField name="Trust _x000a_.The chatbot provided accurate information." numFmtId="0">
      <sharedItems containsSemiMixedTypes="0" containsString="0" containsNumber="1" containsInteger="1" minValue="2" maxValue="5"/>
    </cacheField>
    <cacheField name="Trust _x000a_.I trust the chatbot to protect my personal and financial information. " numFmtId="0">
      <sharedItems containsString="0" containsBlank="1" containsNumber="1" containsInteger="1" minValue="1" maxValue="5"/>
    </cacheField>
    <cacheField name="Trust _x000a_.I believe the chatbot acts in my best interests." numFmtId="0">
      <sharedItems containsSemiMixedTypes="0" containsString="0" containsNumber="1" containsInteger="1" minValue="1" maxValue="5"/>
    </cacheField>
    <cacheField name="Trust _x000a_.I believe the chatbot provides honest and transparent information." numFmtId="0">
      <sharedItems containsSemiMixedTypes="0" containsString="0" containsNumber="1" containsInteger="1" minValue="1" maxValue="5"/>
    </cacheField>
    <cacheField name="Trust _x000a_.I am more comfortable sharing information with the chatbot than with a human representative." numFmtId="0">
      <sharedItems containsSemiMixedTypes="0" containsString="0" containsNumber="1" containsInteger="1" minValue="1" maxValue="5"/>
    </cacheField>
    <cacheField name="Ease of Use.The chatbot was easy to use and navigate. " numFmtId="0">
      <sharedItems containsSemiMixedTypes="0" containsString="0" containsNumber="1" containsInteger="1" minValue="1" maxValue="5"/>
    </cacheField>
    <cacheField name="Ease of Use.The chatbot's instructions were clear and easy to follow." numFmtId="0">
      <sharedItems containsSemiMixedTypes="0" containsString="0" containsNumber="1" containsInteger="1" minValue="2" maxValue="5"/>
    </cacheField>
    <cacheField name="Ease of Use.The chatbot saved me time compared to other ways of getting support." numFmtId="0">
      <sharedItems containsString="0" containsBlank="1" containsNumber="1" containsInteger="1" minValue="1" maxValue="5"/>
    </cacheField>
    <cacheField name="Ease of Use.I rarely felt frustrated while using the chatbot." numFmtId="0">
      <sharedItems containsSemiMixedTypes="0" containsString="0" containsNumber="1" containsInteger="1" minValue="1" maxValue="5"/>
    </cacheField>
    <cacheField name="Ease of Use.The chatbot worked as expected without errors." numFmtId="0">
      <sharedItems containsSemiMixedTypes="0" containsString="0" containsNumber="1" containsInteger="1" minValue="1" maxValue="5"/>
    </cacheField>
    <cacheField name="Helpfulness _x000a_.The   chatbot provided helpful responses to my queries." numFmtId="0">
      <sharedItems containsSemiMixedTypes="0" containsString="0" containsNumber="1" containsInteger="1" minValue="1" maxValue="5"/>
    </cacheField>
    <cacheField name="Helpfulness _x000a_.The chatbot recommended services or products that were relevant to my needs. " numFmtId="0">
      <sharedItems containsSemiMixedTypes="0" containsString="0" containsNumber="1" containsInteger="1" minValue="1" maxValue="5"/>
    </cacheField>
    <cacheField name="Helpfulness _x000a_.The chatbot provided me with enough information to proceed confidently." numFmtId="0">
      <sharedItems containsSemiMixedTypes="0" containsString="0" containsNumber="1" containsInteger="1" minValue="1" maxValue="5"/>
    </cacheField>
    <cacheField name="Helpfulness _x000a_.The chatbot saved me from needing to use other support channels." numFmtId="0">
      <sharedItems containsSemiMixedTypes="0" containsString="0" containsNumber="1" containsInteger="1" minValue="1" maxValue="5"/>
    </cacheField>
    <cacheField name="Helpfulness _x000a_.I preferred using the chatbot to get help instead of calling or visiting the bank." numFmtId="0">
      <sharedItems containsSemiMixedTypes="0" containsString="0" containsNumber="1" containsInteger="1" minValue="1" maxValue="5"/>
    </cacheField>
    <cacheField name="Convenience .I found using the chatbot more convenient than speaking with a human customer service representative." numFmtId="0">
      <sharedItems containsSemiMixedTypes="0" containsString="0" containsNumber="1" containsInteger="1" minValue="1" maxValue="5"/>
    </cacheField>
    <cacheField name="Convenience .The chatbot was available when I needed assistance." numFmtId="0">
      <sharedItems containsSemiMixedTypes="0" containsString="0" containsNumber="1" containsInteger="1" minValue="2" maxValue="5"/>
    </cacheField>
    <cacheField name="Convenience .I could use the chatbot at a time that was convenient for me." numFmtId="0">
      <sharedItems containsSemiMixedTypes="0" containsString="0" containsNumber="1" containsInteger="1" minValue="2" maxValue="5"/>
    </cacheField>
    <cacheField name="Convenience .I didn't have to repeat myself multiple times when using the chatbot." numFmtId="0">
      <sharedItems containsSemiMixedTypes="0" containsString="0" containsNumber="1" containsInteger="1" minValue="1" maxValue="5"/>
    </cacheField>
    <cacheField name="Response speed .On average, the chatbot typically responds quickly to my questions. " numFmtId="0">
      <sharedItems containsSemiMixedTypes="0" containsString="0" containsNumber="1" containsInteger="1" minValue="2" maxValue="5"/>
    </cacheField>
    <cacheField name="Response speed .The chatbot provided answers without unnecessary delays." numFmtId="0">
      <sharedItems containsSemiMixedTypes="0" containsString="0" containsNumber="1" containsInteger="1" minValue="1" maxValue="5"/>
    </cacheField>
    <cacheField name="Response speed .I did not experience long wait times when using the chatbot." numFmtId="0">
      <sharedItems containsSemiMixedTypes="0" containsString="0" containsNumber="1" containsInteger="1" minValue="2" maxValue="5"/>
    </cacheField>
    <cacheField name="Response speed .I was able to get help immediately through the chatbot." numFmtId="0">
      <sharedItems containsSemiMixedTypes="0" containsString="0" containsNumber="1" containsInteger="1" minValue="1" maxValue="5"/>
    </cacheField>
    <cacheField name="Response accuracy.The chatbot responses were accurate and relevant to my questions. " numFmtId="0">
      <sharedItems containsString="0" containsBlank="1" containsNumber="1" containsInteger="1" minValue="1" maxValue="5"/>
    </cacheField>
    <cacheField name="Response accuracy.The chatbot stayed on topic during the conversation." numFmtId="0">
      <sharedItems containsSemiMixedTypes="0" containsString="0" containsNumber="1" containsInteger="1" minValue="1" maxValue="5"/>
    </cacheField>
    <cacheField name="Response accuracy.The chatbot's responses were relevant to my questions." numFmtId="0">
      <sharedItems containsString="0" containsBlank="1" containsNumber="1" containsInteger="1" minValue="1" maxValue="5"/>
    </cacheField>
    <cacheField name="Response accuracy.The chatbot was as accurate as a human customer service representative." numFmtId="0">
      <sharedItems containsSemiMixedTypes="0" containsString="0" containsNumber="1" containsInteger="1" minValue="1" maxValue="5"/>
    </cacheField>
    <cacheField name="Acurracy_Incorrect_R" numFmtId="0">
      <sharedItems containsSemiMixedTypes="0" containsString="0" containsNumber="1" containsInteger="1" minValue="1" maxValue="4"/>
    </cacheField>
    <cacheField name="Empathy.The chatbot recognised my emotions and concerns." numFmtId="0">
      <sharedItems containsSemiMixedTypes="0" containsString="0" containsNumber="1" containsInteger="1" minValue="1" maxValue="5"/>
    </cacheField>
    <cacheField name="Empathy.The chatbot responded in a caring and considerate way." numFmtId="0">
      <sharedItems containsSemiMixedTypes="0" containsString="0" containsNumber="1" containsInteger="1" minValue="1" maxValue="5"/>
    </cacheField>
    <cacheField name="Empathy.The chatbot understood my situation well. " numFmtId="0">
      <sharedItems containsSemiMixedTypes="0" containsString="0" containsNumber="1" containsInteger="1" minValue="1" maxValue="5"/>
    </cacheField>
    <cacheField name="Empathy_Ignore_R" numFmtId="0">
      <sharedItems containsSemiMixedTypes="0" containsString="0" containsNumber="1" containsInteger="1" minValue="1" maxValue="4"/>
    </cacheField>
    <cacheField name="Empathy_Cold_R" numFmtId="0">
      <sharedItems containsSemiMixedTypes="0" containsString="0" containsNumber="1" containsInteger="1" minValue="1" maxValue="4"/>
    </cacheField>
    <cacheField name="Personalisation.The   chatbot asked me personalised questions to understand my needs better." numFmtId="0">
      <sharedItems containsSemiMixedTypes="0" containsString="0" containsNumber="1" containsInteger="1" minValue="1" maxValue="5"/>
    </cacheField>
    <cacheField name="Personalisation.The   chatbot adapted its tone to adjust its communication style." numFmtId="0">
      <sharedItems containsSemiMixedTypes="0" containsString="0" containsNumber="1" containsInteger="1" minValue="1" maxValue="5"/>
    </cacheField>
    <cacheField name="Personalisation.The   chatbot remembered my previous responses or preferences during the   conversation." numFmtId="0">
      <sharedItems containsSemiMixedTypes="0" containsString="0" containsNumber="1" containsInteger="1" minValue="1" maxValue="5"/>
    </cacheField>
    <cacheField name="Personalisation.The chatbot made my interaction with the bank feel more personal." numFmtId="0">
      <sharedItems containsSemiMixedTypes="0" containsString="0" containsNumber="1" containsInteger="1" minValue="1" maxValue="5"/>
    </cacheField>
    <cacheField name="Personalisation.The chatbot allowed me to communicate in my preferred language. " numFmtId="0">
      <sharedItems containsSemiMixedTypes="0" containsString="0" containsNumber="1" containsInteger="1" minValue="1" maxValue="5"/>
    </cacheField>
    <cacheField name="Usage_Avg" numFmtId="0">
      <sharedItems containsSemiMixedTypes="0" containsString="0" containsNumber="1" minValue="1.8" maxValue="5"/>
    </cacheField>
    <cacheField name="Satisfaction_Avg" numFmtId="0">
      <sharedItems containsSemiMixedTypes="0" containsString="0" containsNumber="1" minValue="1.4" maxValue="4.2"/>
    </cacheField>
    <cacheField name="Trust_Avg" numFmtId="0">
      <sharedItems containsSemiMixedTypes="0" containsString="0" containsNumber="1" minValue="1.7333333333333334" maxValue="4.8666666666666671"/>
    </cacheField>
    <cacheField name="Ease_of_Use_Avg" numFmtId="0">
      <sharedItems containsSemiMixedTypes="0" containsString="0" containsNumber="1" minValue="1.4555555555555555" maxValue="4.9777777777777779"/>
    </cacheField>
    <cacheField name="Helpfulness_Avg" numFmtId="0">
      <sharedItems containsSemiMixedTypes="0" containsString="0" containsNumber="1" minValue="1.075925925925926" maxValue="4.996296296296296"/>
    </cacheField>
    <cacheField name="Convenience_Avg" numFmtId="0">
      <sharedItems containsSemiMixedTypes="0" containsString="0" containsNumber="1" minValue="2.0503703703703704" maxValue="4.9992592592592588"/>
    </cacheField>
    <cacheField name="Speed_Avg" numFmtId="0">
      <sharedItems containsSemiMixedTypes="0" containsString="0" containsNumber="1" minValue="1.610074074074074" maxValue="4.9998518518518518"/>
    </cacheField>
    <cacheField name="Accuracy_Avg" numFmtId="0">
      <sharedItems containsSemiMixedTypes="0" containsString="0" containsNumber="1" minValue="1.4" maxValue="4.5"/>
    </cacheField>
    <cacheField name="Empathy_Avg" numFmtId="0">
      <sharedItems containsSemiMixedTypes="0" containsString="0" containsNumber="1" minValue="1.0666666666666667" maxValue="3.5833333333333335"/>
    </cacheField>
    <cacheField name="Personalisation_Avg" numFmtId="0">
      <sharedItems containsSemiMixedTypes="0" containsString="0" containsNumber="1" minValue="1.2333333333333334" maxValue="4.75555555555555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0"/>
    <n v="48"/>
    <n v="36"/>
    <n v="29"/>
    <n v="17"/>
  </r>
  <r>
    <x v="1"/>
    <n v="9"/>
    <n v="31"/>
    <n v="52"/>
    <n v="18"/>
    <n v="10"/>
  </r>
  <r>
    <x v="2"/>
    <n v="13"/>
    <n v="41"/>
    <n v="53"/>
    <n v="22"/>
    <n v="20"/>
  </r>
  <r>
    <x v="3"/>
    <n v="18"/>
    <n v="53"/>
    <n v="49"/>
    <n v="18"/>
    <n v="11"/>
  </r>
  <r>
    <x v="4"/>
    <n v="9"/>
    <n v="51"/>
    <n v="45"/>
    <n v="29"/>
    <n v="16"/>
  </r>
  <r>
    <x v="5"/>
    <n v="9"/>
    <n v="56"/>
    <n v="21"/>
    <n v="21"/>
    <n v="13"/>
  </r>
  <r>
    <x v="6"/>
    <n v="23"/>
    <n v="66"/>
    <n v="17"/>
    <n v="10"/>
    <n v="4"/>
  </r>
  <r>
    <x v="7"/>
    <n v="11"/>
    <n v="38"/>
    <n v="51"/>
    <n v="35"/>
    <n v="9"/>
  </r>
  <r>
    <x v="8"/>
    <n v="14"/>
    <n v="23"/>
    <n v="58"/>
    <n v="39"/>
    <n v="16"/>
  </r>
  <r>
    <x v="9"/>
    <n v="7"/>
    <n v="34"/>
    <n v="61"/>
    <n v="30"/>
    <n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n v="45907.67596064815"/>
    <n v="45907.688657407409"/>
    <s v="anonymous"/>
    <m/>
    <s v="55-64"/>
    <s v="Woman"/>
    <s v="High school diploma or equivalent "/>
    <s v="Prefer not to say"/>
    <s v="Prefer not to say"/>
    <x v="0"/>
    <s v="White (e.g. British, Irish, other White background)"/>
    <m/>
    <m/>
    <n v="4"/>
    <n v="1"/>
    <n v="5"/>
    <n v="5"/>
    <n v="5"/>
    <n v="3"/>
    <n v="5"/>
    <n v="5"/>
    <n v="3"/>
    <n v="3"/>
    <n v="3"/>
    <n v="4"/>
    <n v="5"/>
    <n v="1"/>
    <n v="5"/>
    <n v="5"/>
    <n v="3"/>
    <n v="4"/>
    <n v="4"/>
    <n v="4"/>
    <n v="5"/>
    <n v="4"/>
    <n v="4"/>
    <n v="3"/>
    <n v="1"/>
    <n v="4"/>
    <n v="4"/>
    <n v="1"/>
    <n v="5"/>
    <n v="4"/>
    <n v="5"/>
    <n v="4"/>
    <n v="4"/>
    <n v="5"/>
    <n v="4"/>
    <n v="4"/>
    <n v="4"/>
    <n v="1"/>
    <n v="1"/>
    <n v="3"/>
    <n v="1"/>
    <n v="1"/>
    <n v="3"/>
    <n v="1"/>
    <n v="1"/>
    <n v="1"/>
    <n v="3"/>
    <n v="4"/>
    <n v="4"/>
    <n v="3.3333333333333335"/>
    <n v="4.0555555555555554"/>
    <n v="4.0092592592592595"/>
    <n v="2.8018518518518518"/>
    <n v="4.1603703703703703"/>
    <n v="4.2"/>
    <n v="1.8666666666666667"/>
    <n v="1.8111111111111111"/>
  </r>
  <r>
    <n v="2"/>
    <n v="45907.771157407406"/>
    <n v="45907.845034722224"/>
    <s v="anonymous"/>
    <m/>
    <s v="25-34"/>
    <s v="Woman"/>
    <s v="Master’s degree"/>
    <s v="Employed full-time"/>
    <s v="In a relationship"/>
    <x v="1"/>
    <s v="White (e.g. British, Irish, other White background)"/>
    <m/>
    <m/>
    <n v="1"/>
    <n v="1"/>
    <n v="1"/>
    <n v="5"/>
    <n v="1"/>
    <n v="1"/>
    <n v="1"/>
    <n v="4"/>
    <n v="1"/>
    <n v="4"/>
    <n v="1"/>
    <n v="1"/>
    <n v="3"/>
    <n v="1"/>
    <n v="3"/>
    <n v="4"/>
    <n v="1"/>
    <n v="1"/>
    <n v="3"/>
    <n v="3"/>
    <n v="2"/>
    <n v="1"/>
    <n v="1"/>
    <n v="1"/>
    <n v="1"/>
    <n v="5"/>
    <n v="5"/>
    <n v="2"/>
    <n v="5"/>
    <n v="5"/>
    <n v="5"/>
    <n v="1"/>
    <n v="2"/>
    <n v="4"/>
    <n v="2"/>
    <n v="1"/>
    <n v="3"/>
    <n v="1"/>
    <n v="1"/>
    <n v="1"/>
    <n v="2"/>
    <n v="1"/>
    <n v="1"/>
    <n v="1"/>
    <n v="2"/>
    <n v="1"/>
    <n v="1"/>
    <n v="1.8"/>
    <n v="2"/>
    <n v="2"/>
    <n v="2.3333333333333335"/>
    <n v="1.7222222222222223"/>
    <n v="2.9444444444444446"/>
    <n v="3.7888888888888888"/>
    <n v="2.4"/>
    <n v="1.4"/>
    <n v="1.2333333333333334"/>
  </r>
  <r>
    <n v="3"/>
    <n v="45908.755798611113"/>
    <n v="45908.75949074074"/>
    <s v="anonymous"/>
    <m/>
    <s v="25-34"/>
    <s v="Woman"/>
    <s v="Bachelor’s degree"/>
    <s v="Student"/>
    <s v="Single"/>
    <x v="0"/>
    <s v="Mixed or Multiple ethnic groups (e.g. White and Black Caribbean, White and Asian)"/>
    <m/>
    <m/>
    <n v="2"/>
    <n v="2"/>
    <n v="5"/>
    <n v="5"/>
    <n v="4"/>
    <n v="4"/>
    <n v="4"/>
    <n v="4"/>
    <n v="3"/>
    <n v="4"/>
    <n v="4"/>
    <n v="4"/>
    <n v="4"/>
    <n v="3"/>
    <n v="5"/>
    <n v="5"/>
    <n v="3"/>
    <n v="3"/>
    <n v="5"/>
    <n v="4"/>
    <n v="3"/>
    <n v="2"/>
    <n v="2"/>
    <n v="3"/>
    <n v="2"/>
    <n v="4"/>
    <n v="4"/>
    <n v="2"/>
    <n v="4"/>
    <n v="4"/>
    <n v="5"/>
    <n v="5"/>
    <n v="3"/>
    <n v="5"/>
    <n v="4"/>
    <n v="3"/>
    <n v="4"/>
    <n v="1"/>
    <n v="1"/>
    <n v="3"/>
    <n v="1"/>
    <n v="1"/>
    <n v="2"/>
    <n v="1"/>
    <n v="1"/>
    <n v="1"/>
    <n v="4"/>
    <n v="3.6"/>
    <n v="3.8"/>
    <n v="3.8"/>
    <n v="4.1333333333333329"/>
    <n v="3.0222222222222221"/>
    <n v="3.0044444444444443"/>
    <n v="4.2008888888888887"/>
    <n v="3.8"/>
    <n v="1.7999999999999998"/>
    <n v="1.8"/>
  </r>
  <r>
    <n v="4"/>
    <n v="45909.36824074074"/>
    <n v="45909.374016203707"/>
    <s v="anonymous"/>
    <m/>
    <s v="25-34"/>
    <s v="Woman"/>
    <s v="Master’s degree"/>
    <s v="Employed full-time"/>
    <s v="In a relationship"/>
    <x v="0"/>
    <s v="Mixed or Multiple ethnic groups (e.g. White and Black Caribbean, White and Asian)"/>
    <m/>
    <m/>
    <n v="2"/>
    <n v="2"/>
    <n v="3"/>
    <n v="5"/>
    <n v="4"/>
    <n v="3"/>
    <n v="3"/>
    <n v="2"/>
    <n v="3"/>
    <n v="3"/>
    <n v="1"/>
    <n v="3"/>
    <n v="3"/>
    <n v="1"/>
    <n v="3"/>
    <n v="3"/>
    <n v="2"/>
    <n v="1"/>
    <n v="4"/>
    <n v="3"/>
    <n v="3"/>
    <n v="3"/>
    <n v="2"/>
    <n v="2"/>
    <n v="1"/>
    <n v="3"/>
    <n v="2"/>
    <n v="3"/>
    <n v="3"/>
    <n v="3"/>
    <n v="2"/>
    <n v="3"/>
    <n v="3"/>
    <n v="3"/>
    <n v="3"/>
    <n v="3"/>
    <n v="3"/>
    <n v="3"/>
    <n v="3"/>
    <n v="3"/>
    <n v="1"/>
    <n v="4"/>
    <n v="3"/>
    <n v="2"/>
    <n v="3"/>
    <n v="2"/>
    <n v="3"/>
    <n v="3.2"/>
    <n v="2.8"/>
    <n v="2.2999999999999998"/>
    <n v="2.5499999999999998"/>
    <n v="2.5916666666666668"/>
    <n v="2.3183333333333334"/>
    <n v="2.6636666666666668"/>
    <n v="3"/>
    <n v="2.8333333333333335"/>
    <n v="2.6388888888888888"/>
  </r>
  <r>
    <n v="5"/>
    <n v="45909.672384259262"/>
    <n v="45909.675405092596"/>
    <s v="anonymous"/>
    <m/>
    <s v="18-24"/>
    <s v="Woman"/>
    <s v="High school diploma or equivalent "/>
    <s v="Unemployed"/>
    <s v="Prefer not to say"/>
    <x v="0"/>
    <s v="White (e.g. British, Irish, other White background)"/>
    <m/>
    <m/>
    <n v="3"/>
    <n v="2"/>
    <n v="1"/>
    <n v="2"/>
    <n v="3"/>
    <n v="1"/>
    <n v="1"/>
    <n v="2"/>
    <n v="1"/>
    <n v="2"/>
    <n v="4"/>
    <n v="1"/>
    <n v="3"/>
    <n v="1"/>
    <n v="1"/>
    <n v="2"/>
    <n v="1"/>
    <n v="1"/>
    <n v="2"/>
    <n v="1"/>
    <n v="1"/>
    <n v="2"/>
    <n v="1"/>
    <n v="1"/>
    <n v="1"/>
    <n v="3"/>
    <n v="4"/>
    <n v="1"/>
    <n v="2"/>
    <n v="1"/>
    <n v="2"/>
    <n v="1"/>
    <n v="1"/>
    <n v="3"/>
    <n v="2"/>
    <n v="1"/>
    <n v="2"/>
    <n v="3"/>
    <n v="3"/>
    <n v="2"/>
    <n v="3"/>
    <n v="1"/>
    <n v="2"/>
    <n v="3"/>
    <n v="2"/>
    <n v="1"/>
    <n v="1"/>
    <n v="2.2000000000000002"/>
    <n v="1.4"/>
    <n v="2.0666666666666664"/>
    <n v="1.5111111111111111"/>
    <n v="1.2518518518518518"/>
    <n v="2.0503703703703704"/>
    <n v="1.610074074074074"/>
    <n v="1.8"/>
    <n v="2.2999999999999998"/>
    <n v="1.8833333333333333"/>
  </r>
  <r>
    <n v="6"/>
    <n v="45910.424988425926"/>
    <n v="45910.443032407406"/>
    <s v="anonymous"/>
    <m/>
    <s v="35-44"/>
    <s v="Man"/>
    <s v="Doctoral or professional degree"/>
    <s v="Employed full-time"/>
    <s v="In a relationship"/>
    <x v="0"/>
    <s v="Asian or Asian British (e.g. Indian, Pakistani, Chinese, other Asian background)"/>
    <m/>
    <m/>
    <n v="3"/>
    <n v="2"/>
    <n v="4"/>
    <n v="2"/>
    <n v="2"/>
    <n v="3"/>
    <n v="3"/>
    <n v="4"/>
    <n v="4"/>
    <n v="4"/>
    <n v="4"/>
    <n v="3"/>
    <n v="4"/>
    <n v="2"/>
    <n v="2"/>
    <n v="4"/>
    <n v="3"/>
    <n v="2"/>
    <n v="3"/>
    <n v="4"/>
    <n v="4"/>
    <n v="4"/>
    <n v="4"/>
    <n v="4"/>
    <n v="2"/>
    <n v="4"/>
    <n v="4"/>
    <n v="3"/>
    <n v="4"/>
    <n v="4"/>
    <n v="4"/>
    <n v="4"/>
    <n v="4"/>
    <n v="4"/>
    <n v="4"/>
    <n v="2"/>
    <n v="3"/>
    <n v="2"/>
    <n v="2"/>
    <n v="2"/>
    <n v="2"/>
    <n v="2"/>
    <n v="4"/>
    <n v="3"/>
    <n v="4"/>
    <n v="3"/>
    <n v="4"/>
    <n v="2.6"/>
    <n v="3.4"/>
    <n v="3.4"/>
    <n v="2.9"/>
    <n v="3.8166666666666664"/>
    <n v="3.3633333333333333"/>
    <n v="3.8726666666666665"/>
    <n v="3.4"/>
    <n v="2.2333333333333334"/>
    <n v="3.3722222222222222"/>
  </r>
  <r>
    <n v="7"/>
    <n v="45910.491087962961"/>
    <n v="45910.494699074072"/>
    <s v="anonymous"/>
    <m/>
    <s v="25-34"/>
    <s v="Man"/>
    <s v="Master’s degree"/>
    <s v="Student"/>
    <s v="In a relationship"/>
    <x v="0"/>
    <s v="Asian or Asian British (e.g. Indian, Pakistani, Chinese, other Asian background)"/>
    <s v="Lloyds Bank;"/>
    <s v="English"/>
    <n v="2"/>
    <n v="4"/>
    <n v="4"/>
    <n v="4"/>
    <n v="5"/>
    <n v="4"/>
    <n v="4"/>
    <n v="4"/>
    <n v="5"/>
    <n v="4"/>
    <n v="4"/>
    <n v="3"/>
    <n v="4"/>
    <n v="1"/>
    <n v="4"/>
    <n v="5"/>
    <n v="5"/>
    <n v="4"/>
    <n v="4"/>
    <n v="4"/>
    <n v="2"/>
    <n v="5"/>
    <n v="2"/>
    <n v="3"/>
    <n v="3"/>
    <n v="4"/>
    <n v="4"/>
    <n v="4"/>
    <n v="5"/>
    <n v="5"/>
    <n v="5"/>
    <n v="5"/>
    <n v="4"/>
    <n v="5"/>
    <n v="5"/>
    <n v="3"/>
    <n v="4"/>
    <n v="3"/>
    <n v="3"/>
    <n v="4"/>
    <n v="3"/>
    <n v="3"/>
    <n v="3"/>
    <n v="3"/>
    <n v="4"/>
    <n v="2"/>
    <n v="4"/>
    <n v="3.8"/>
    <n v="4.2"/>
    <n v="3.3666666666666667"/>
    <n v="4.2277777777777779"/>
    <n v="3.3712962962962965"/>
    <n v="3.6742592592592591"/>
    <n v="4.7348518518518521"/>
    <n v="4.2"/>
    <n v="3.3666666666666667"/>
    <n v="3.2277777777777779"/>
  </r>
  <r>
    <n v="8"/>
    <n v="45910.511712962965"/>
    <n v="45910.519803240742"/>
    <s v="anonymous"/>
    <m/>
    <s v="25-34"/>
    <s v="Man"/>
    <s v="Master’s degree"/>
    <s v="Employed part-time"/>
    <s v="Married"/>
    <x v="0"/>
    <s v="Asian or Asian British (e.g. Indian, Pakistani, Chinese, other Asian background)"/>
    <s v="Monzo;Other;"/>
    <s v="English"/>
    <n v="3"/>
    <n v="2"/>
    <n v="4"/>
    <n v="4"/>
    <n v="2"/>
    <n v="2"/>
    <n v="2"/>
    <n v="2"/>
    <n v="2"/>
    <n v="2"/>
    <n v="1"/>
    <n v="2"/>
    <n v="4"/>
    <n v="1"/>
    <n v="4"/>
    <n v="4"/>
    <m/>
    <n v="4"/>
    <n v="3"/>
    <n v="4"/>
    <n v="4"/>
    <n v="4"/>
    <n v="4"/>
    <n v="4"/>
    <n v="2"/>
    <n v="4"/>
    <n v="5"/>
    <n v="4"/>
    <n v="4"/>
    <n v="4"/>
    <n v="4"/>
    <n v="4"/>
    <n v="4"/>
    <n v="4"/>
    <n v="4"/>
    <n v="4"/>
    <n v="2"/>
    <n v="3"/>
    <n v="4"/>
    <n v="4"/>
    <n v="2"/>
    <n v="2"/>
    <n v="4"/>
    <n v="4"/>
    <n v="4"/>
    <n v="4"/>
    <n v="4"/>
    <n v="3"/>
    <n v="2"/>
    <n v="2"/>
    <n v="3.4"/>
    <n v="3.9"/>
    <n v="3.78"/>
    <n v="3.956"/>
    <n v="3.6"/>
    <n v="3.1"/>
    <n v="3.85"/>
  </r>
  <r>
    <n v="9"/>
    <n v="45910.815081018518"/>
    <n v="45910.817986111113"/>
    <s v="anonymous"/>
    <m/>
    <s v="45-54"/>
    <s v="Man"/>
    <s v="Doctoral or professional degree"/>
    <s v="Employed full-time"/>
    <s v="Married"/>
    <x v="2"/>
    <s v="Prefer not to say"/>
    <s v="Other;"/>
    <m/>
    <n v="1"/>
    <n v="1"/>
    <n v="3"/>
    <n v="3"/>
    <n v="2"/>
    <n v="2"/>
    <n v="2"/>
    <n v="2"/>
    <n v="3"/>
    <n v="4"/>
    <n v="3"/>
    <n v="1"/>
    <n v="3"/>
    <n v="3"/>
    <n v="2"/>
    <n v="3"/>
    <n v="1"/>
    <n v="5"/>
    <n v="3"/>
    <n v="2"/>
    <n v="2"/>
    <n v="3"/>
    <n v="1"/>
    <n v="3"/>
    <n v="1"/>
    <n v="2"/>
    <n v="4"/>
    <n v="1"/>
    <n v="2"/>
    <n v="2"/>
    <n v="4"/>
    <n v="1"/>
    <n v="1"/>
    <n v="2"/>
    <n v="3"/>
    <n v="2"/>
    <n v="3"/>
    <n v="2"/>
    <n v="4"/>
    <n v="3"/>
    <n v="3"/>
    <n v="4"/>
    <n v="3"/>
    <n v="3"/>
    <n v="2"/>
    <n v="1"/>
    <n v="2"/>
    <n v="2"/>
    <n v="2.4"/>
    <n v="2.7333333333333334"/>
    <n v="2.7888888888888888"/>
    <n v="2.2981481481481483"/>
    <n v="2.0596296296296295"/>
    <n v="2.2119259259259261"/>
    <n v="2.2000000000000002"/>
    <n v="3.0333333333333332"/>
    <n v="2.338888888888889"/>
  </r>
  <r>
    <n v="10"/>
    <n v="45912.763414351852"/>
    <n v="45912.766516203701"/>
    <s v="anonymous"/>
    <m/>
    <s v="35-44"/>
    <s v="Man"/>
    <s v="Post-secondary qualification"/>
    <s v="Self-employed"/>
    <s v="In a relationship"/>
    <x v="0"/>
    <s v="Mixed or Multiple ethnic groups (e.g. White and Black Caribbean, White and Asian)"/>
    <s v="Other;"/>
    <s v="English "/>
    <n v="3"/>
    <n v="3"/>
    <n v="4"/>
    <n v="4"/>
    <n v="3"/>
    <n v="3"/>
    <n v="2"/>
    <n v="4"/>
    <n v="3"/>
    <n v="3"/>
    <m/>
    <n v="3"/>
    <n v="3"/>
    <n v="2"/>
    <n v="3"/>
    <n v="3"/>
    <n v="4"/>
    <n v="3"/>
    <n v="3"/>
    <n v="3"/>
    <n v="3"/>
    <n v="3"/>
    <n v="4"/>
    <n v="2"/>
    <n v="1"/>
    <n v="4"/>
    <n v="4"/>
    <n v="1"/>
    <n v="4"/>
    <n v="4"/>
    <n v="4"/>
    <n v="3"/>
    <n v="2"/>
    <n v="3"/>
    <n v="3"/>
    <n v="2"/>
    <n v="3"/>
    <n v="2"/>
    <n v="2"/>
    <n v="2"/>
    <n v="2"/>
    <n v="3"/>
    <n v="4"/>
    <n v="2"/>
    <n v="3"/>
    <n v="3"/>
    <n v="4"/>
    <n v="3.4"/>
    <n v="3"/>
    <n v="2.8"/>
    <n v="3.1333333333333333"/>
    <n v="3.0222222222222221"/>
    <n v="2.6044444444444443"/>
    <n v="3.520888888888889"/>
    <n v="2.6"/>
    <n v="2.2666666666666666"/>
    <n v="3.0444444444444443"/>
  </r>
  <r>
    <n v="11"/>
    <n v="45919.8753125"/>
    <n v="45919.876400462963"/>
    <s v="anonymous"/>
    <m/>
    <s v="18-24"/>
    <s v="Man"/>
    <s v="Master’s degree"/>
    <s v="Student"/>
    <s v="Single"/>
    <x v="3"/>
    <s v="Asian or Asian British (e.g. Indian, Pakistani, Chinese, other Asian background)"/>
    <s v="Monzo;"/>
    <s v="English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5"/>
    <n v="5"/>
    <n v="1"/>
    <n v="1"/>
    <n v="5"/>
    <n v="5"/>
    <n v="5"/>
    <n v="5"/>
    <n v="5"/>
    <n v="5"/>
    <n v="4.2"/>
    <n v="4.8666666666666671"/>
    <n v="4.9777777777777779"/>
    <n v="4.996296296296296"/>
    <n v="4.9992592592592588"/>
    <n v="4.9998518518518518"/>
    <n v="4.2"/>
    <n v="3.5333333333333332"/>
    <n v="4.7555555555555555"/>
  </r>
  <r>
    <n v="12"/>
    <n v="45926.601793981485"/>
    <n v="45926.605486111112"/>
    <s v="anonymous"/>
    <m/>
    <s v="35-44"/>
    <s v="Man"/>
    <s v="Doctoral or professional degree"/>
    <s v="Employed full-time"/>
    <s v="Married"/>
    <x v="0"/>
    <s v="White (e.g. British, Irish, other White background)"/>
    <s v="Natwest;Other;"/>
    <s v="Turkish"/>
    <n v="3"/>
    <n v="2"/>
    <n v="5"/>
    <n v="4"/>
    <n v="4"/>
    <n v="3"/>
    <n v="3"/>
    <n v="2"/>
    <n v="3"/>
    <n v="4"/>
    <n v="5"/>
    <n v="4"/>
    <n v="4"/>
    <n v="4"/>
    <n v="4"/>
    <n v="4"/>
    <n v="3"/>
    <n v="2"/>
    <n v="3"/>
    <n v="3"/>
    <n v="4"/>
    <n v="3"/>
    <n v="2"/>
    <n v="4"/>
    <n v="3"/>
    <n v="5"/>
    <n v="4"/>
    <n v="3"/>
    <n v="4"/>
    <n v="4"/>
    <n v="4"/>
    <n v="3"/>
    <n v="3"/>
    <n v="4"/>
    <n v="3"/>
    <n v="2"/>
    <n v="3"/>
    <n v="1"/>
    <n v="3"/>
    <n v="3"/>
    <n v="3"/>
    <n v="3"/>
    <n v="3"/>
    <n v="2"/>
    <n v="3"/>
    <n v="2"/>
    <n v="4"/>
    <n v="3.6"/>
    <n v="2.8"/>
    <n v="3.9666666666666668"/>
    <n v="3.3277777777777779"/>
    <n v="3.2212962962962965"/>
    <n v="3.6442592592592593"/>
    <n v="3.7288518518518519"/>
    <n v="3"/>
    <n v="2.6666666666666665"/>
    <n v="2.7777777777777777"/>
  </r>
  <r>
    <n v="13"/>
    <n v="45933.655393518522"/>
    <n v="45933.657372685186"/>
    <s v="anonymous"/>
    <m/>
    <s v="18-24"/>
    <s v="Woman"/>
    <s v="Bachelor’s degree"/>
    <s v="Employed part-time"/>
    <s v="Single"/>
    <x v="0"/>
    <s v="Asian or Asian British (e.g. Indian, Pakistani, Chinese, other Asian background)"/>
    <s v="Other;"/>
    <s v="English "/>
    <n v="5"/>
    <n v="3"/>
    <n v="4"/>
    <n v="3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.4"/>
    <n v="3"/>
    <n v="3"/>
    <n v="3"/>
    <n v="3"/>
    <n v="3"/>
    <n v="3"/>
    <n v="3"/>
    <n v="3"/>
    <n v="3"/>
  </r>
  <r>
    <n v="14"/>
    <n v="45933.777430555558"/>
    <n v="45933.782835648148"/>
    <s v="anonymous"/>
    <m/>
    <s v="35-44"/>
    <s v="Woman"/>
    <s v="Bachelor’s degree"/>
    <s v="Student"/>
    <s v="Divorced"/>
    <x v="0"/>
    <s v="White (e.g. British, Irish, other White background)"/>
    <s v="Monzo;"/>
    <s v="English"/>
    <n v="1"/>
    <n v="1"/>
    <n v="3"/>
    <n v="4"/>
    <n v="3"/>
    <n v="3"/>
    <n v="3"/>
    <n v="3"/>
    <n v="3"/>
    <n v="3"/>
    <n v="3"/>
    <n v="2"/>
    <n v="3"/>
    <n v="2"/>
    <n v="4"/>
    <n v="4"/>
    <n v="3"/>
    <n v="3"/>
    <n v="3"/>
    <n v="3"/>
    <n v="3"/>
    <n v="3"/>
    <n v="3"/>
    <n v="3"/>
    <n v="3"/>
    <n v="4"/>
    <n v="4"/>
    <n v="3"/>
    <n v="4"/>
    <n v="3"/>
    <n v="4"/>
    <n v="3"/>
    <n v="3"/>
    <n v="3"/>
    <n v="3"/>
    <n v="3"/>
    <n v="4"/>
    <n v="2"/>
    <n v="2"/>
    <n v="3"/>
    <n v="3"/>
    <n v="2"/>
    <n v="3"/>
    <n v="3"/>
    <n v="3"/>
    <n v="3"/>
    <n v="4"/>
    <n v="2.4"/>
    <n v="3.2"/>
    <n v="2.7"/>
    <n v="3.2833333333333332"/>
    <n v="3.0472222222222221"/>
    <n v="3.4094444444444445"/>
    <n v="3.4818888888888888"/>
    <n v="3.2"/>
    <n v="2.5333333333333332"/>
    <n v="3.088888888888889"/>
  </r>
  <r>
    <n v="15"/>
    <n v="45934.520578703705"/>
    <n v="45934.522650462961"/>
    <s v="anonymous"/>
    <m/>
    <s v="18-24"/>
    <s v="Woman"/>
    <s v="Master’s degree"/>
    <s v="Student"/>
    <s v="In a relationship"/>
    <x v="3"/>
    <s v="Asian or Asian British (e.g. Indian, Pakistani, Chinese, other Asian background)"/>
    <s v="Other;"/>
    <s v="English"/>
    <n v="2"/>
    <n v="2"/>
    <n v="4"/>
    <n v="4"/>
    <n v="2"/>
    <n v="2"/>
    <n v="3"/>
    <n v="2"/>
    <n v="2"/>
    <n v="4"/>
    <n v="4"/>
    <n v="4"/>
    <n v="4"/>
    <n v="2"/>
    <n v="3"/>
    <n v="4"/>
    <n v="1"/>
    <n v="5"/>
    <n v="4"/>
    <n v="2"/>
    <n v="4"/>
    <n v="1"/>
    <n v="1"/>
    <n v="1"/>
    <n v="1"/>
    <n v="4"/>
    <n v="4"/>
    <n v="2"/>
    <n v="4"/>
    <n v="4"/>
    <n v="4"/>
    <n v="3"/>
    <n v="3"/>
    <n v="4"/>
    <n v="4"/>
    <n v="1"/>
    <n v="3"/>
    <n v="4"/>
    <n v="4"/>
    <n v="2"/>
    <n v="4"/>
    <n v="4"/>
    <n v="3"/>
    <n v="3"/>
    <n v="3"/>
    <n v="1"/>
    <n v="4"/>
    <n v="2.8"/>
    <n v="2.4"/>
    <n v="3.4"/>
    <n v="3.4"/>
    <n v="2.0666666666666664"/>
    <n v="2.6133333333333333"/>
    <n v="3.5226666666666668"/>
    <n v="3"/>
    <n v="3.5"/>
    <n v="2.9166666666666665"/>
  </r>
  <r>
    <n v="16"/>
    <n v="45939.476770833331"/>
    <n v="45939.480740740742"/>
    <s v="anonymous"/>
    <m/>
    <s v="25-34"/>
    <s v="Woman"/>
    <s v="Bachelor’s degree"/>
    <s v="Employed full-time"/>
    <s v="In a relationship"/>
    <x v="0"/>
    <s v="White (e.g. British, Irish, other White background)"/>
    <s v="Lloyds Bank;Monzo;Other;"/>
    <s v="English"/>
    <n v="2"/>
    <n v="4"/>
    <n v="4"/>
    <n v="5"/>
    <n v="4"/>
    <n v="3"/>
    <n v="3"/>
    <n v="4"/>
    <n v="3"/>
    <n v="4"/>
    <n v="4"/>
    <n v="2"/>
    <n v="4"/>
    <n v="2"/>
    <n v="3"/>
    <n v="4"/>
    <n v="2"/>
    <n v="4"/>
    <n v="3"/>
    <n v="4"/>
    <n v="4"/>
    <n v="4"/>
    <n v="4"/>
    <n v="2"/>
    <n v="2"/>
    <n v="4"/>
    <n v="4"/>
    <n v="2"/>
    <n v="4"/>
    <n v="4"/>
    <n v="4"/>
    <n v="4"/>
    <n v="4"/>
    <n v="4"/>
    <n v="4"/>
    <n v="2"/>
    <n v="4"/>
    <n v="3"/>
    <n v="3"/>
    <n v="2"/>
    <n v="3"/>
    <n v="4"/>
    <n v="2"/>
    <n v="3"/>
    <n v="3"/>
    <n v="1"/>
    <n v="4"/>
    <n v="3.8"/>
    <n v="3.4"/>
    <n v="3.2333333333333334"/>
    <n v="3.2055555555555557"/>
    <n v="3.5342592592592594"/>
    <n v="3.106851851851852"/>
    <n v="3.8213703703703703"/>
    <n v="3.6"/>
    <n v="3.1"/>
    <n v="2.6833333333333336"/>
  </r>
  <r>
    <n v="17"/>
    <n v="45947.743101851855"/>
    <n v="45947.748807870368"/>
    <s v="anonymous"/>
    <m/>
    <s v="55-64"/>
    <s v="Woman"/>
    <s v="Doctoral or professional degree"/>
    <s v="Employed full-time"/>
    <s v="Single"/>
    <x v="0"/>
    <s v="Black, Black British, Caribbean or African"/>
    <s v="Natwest;"/>
    <s v="English"/>
    <n v="2"/>
    <n v="1"/>
    <n v="4"/>
    <n v="4"/>
    <n v="3"/>
    <n v="4"/>
    <n v="4"/>
    <n v="3"/>
    <n v="4"/>
    <n v="2"/>
    <n v="3"/>
    <n v="2"/>
    <n v="4"/>
    <n v="2"/>
    <n v="4"/>
    <n v="4"/>
    <n v="2"/>
    <n v="2"/>
    <n v="4"/>
    <n v="4"/>
    <n v="2"/>
    <n v="3"/>
    <n v="2"/>
    <n v="2"/>
    <n v="2"/>
    <n v="4"/>
    <n v="4"/>
    <n v="2"/>
    <n v="4"/>
    <n v="4"/>
    <n v="4"/>
    <n v="3"/>
    <n v="4"/>
    <n v="2"/>
    <n v="2"/>
    <n v="3"/>
    <n v="3"/>
    <n v="2"/>
    <n v="2"/>
    <n v="2"/>
    <n v="4"/>
    <n v="3"/>
    <n v="4"/>
    <n v="4"/>
    <n v="2"/>
    <n v="2"/>
    <n v="4"/>
    <n v="2.8"/>
    <n v="3.6"/>
    <n v="2.7666666666666666"/>
    <n v="3.1277777777777778"/>
    <n v="2.6879629629629629"/>
    <n v="2.9375925925925928"/>
    <n v="3.5875185185185186"/>
    <n v="2.8"/>
    <n v="2.6333333333333333"/>
    <n v="3.1055555555555556"/>
  </r>
  <r>
    <n v="18"/>
    <n v="45947.768738425926"/>
    <n v="45947.772465277776"/>
    <s v="anonymous"/>
    <m/>
    <s v="35-44"/>
    <s v="Woman"/>
    <s v="Doctoral or professional degree"/>
    <s v="Employed full-time"/>
    <s v="In a relationship"/>
    <x v="0"/>
    <s v="White (e.g. British, Irish, other White background)"/>
    <s v="Natwest;Starling Bank;"/>
    <m/>
    <n v="2"/>
    <n v="3"/>
    <n v="3"/>
    <n v="4"/>
    <n v="3"/>
    <n v="1"/>
    <n v="1"/>
    <n v="1"/>
    <n v="1"/>
    <n v="3"/>
    <n v="1"/>
    <n v="1"/>
    <n v="3"/>
    <n v="1"/>
    <n v="2"/>
    <n v="2"/>
    <n v="1"/>
    <n v="1"/>
    <n v="1"/>
    <n v="1"/>
    <n v="1"/>
    <n v="1"/>
    <n v="1"/>
    <n v="1"/>
    <n v="1"/>
    <n v="4"/>
    <n v="4"/>
    <n v="1"/>
    <n v="4"/>
    <n v="3"/>
    <n v="3"/>
    <n v="2"/>
    <n v="1"/>
    <n v="1"/>
    <n v="1"/>
    <n v="1"/>
    <n v="3"/>
    <n v="1"/>
    <n v="1"/>
    <n v="1"/>
    <n v="1"/>
    <n v="1"/>
    <n v="3"/>
    <n v="3"/>
    <n v="3"/>
    <n v="1"/>
    <n v="3"/>
    <n v="3"/>
    <n v="1.4"/>
    <n v="1.7333333333333334"/>
    <n v="1.4555555555555555"/>
    <n v="1.075925925925926"/>
    <n v="2.2151851851851854"/>
    <n v="2.8430370370370373"/>
    <n v="1.4"/>
    <n v="1.0666666666666667"/>
    <n v="2.3444444444444446"/>
  </r>
  <r>
    <n v="19"/>
    <n v="45947.881736111114"/>
    <n v="45947.894606481481"/>
    <s v="anonymous"/>
    <m/>
    <s v="Prefer not to say "/>
    <s v="Prefer not to say"/>
    <s v="Master’s degree"/>
    <s v="Employed full-time"/>
    <s v="Prefer not to say"/>
    <x v="0"/>
    <s v="Other "/>
    <s v="Other;"/>
    <s v="English"/>
    <n v="2"/>
    <n v="2"/>
    <n v="3"/>
    <n v="4"/>
    <n v="3"/>
    <n v="3"/>
    <n v="3"/>
    <n v="3"/>
    <n v="3"/>
    <n v="3"/>
    <n v="1"/>
    <n v="1"/>
    <n v="1"/>
    <n v="3"/>
    <n v="3"/>
    <n v="4"/>
    <n v="4"/>
    <n v="3"/>
    <n v="4"/>
    <n v="4"/>
    <n v="4"/>
    <n v="4"/>
    <n v="4"/>
    <n v="3"/>
    <n v="4"/>
    <n v="4"/>
    <n v="4"/>
    <n v="4"/>
    <n v="4"/>
    <n v="4"/>
    <n v="4"/>
    <n v="4"/>
    <n v="4"/>
    <n v="4"/>
    <n v="4"/>
    <n v="4"/>
    <n v="3"/>
    <n v="1"/>
    <n v="1"/>
    <n v="2"/>
    <n v="3"/>
    <n v="3"/>
    <n v="4"/>
    <n v="3"/>
    <n v="3"/>
    <n v="3"/>
    <n v="4"/>
    <n v="2.8"/>
    <n v="3"/>
    <n v="2"/>
    <n v="3.333333333333333"/>
    <n v="3.7222222222222223"/>
    <n v="3.9444444444444446"/>
    <n v="3.9888888888888889"/>
    <n v="3.8"/>
    <n v="2.2999999999999998"/>
    <n v="3.2166666666666668"/>
  </r>
  <r>
    <n v="20"/>
    <n v="45947.895486111112"/>
    <n v="45947.901469907411"/>
    <s v="anonymous"/>
    <m/>
    <s v="25-34"/>
    <s v="Man"/>
    <s v="Post-secondary qualification"/>
    <s v="Student"/>
    <s v="Single"/>
    <x v="3"/>
    <s v="Prefer not to say"/>
    <s v="Monzo;Starling Bank;Other;"/>
    <s v="English"/>
    <n v="4"/>
    <n v="4"/>
    <n v="4"/>
    <n v="4"/>
    <n v="4"/>
    <n v="4"/>
    <n v="4"/>
    <n v="4"/>
    <n v="4"/>
    <n v="4"/>
    <n v="3"/>
    <n v="4"/>
    <n v="3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3"/>
    <n v="3"/>
    <n v="3"/>
    <n v="3"/>
    <n v="3"/>
    <n v="4"/>
    <n v="3"/>
    <n v="4"/>
    <n v="4"/>
    <n v="4"/>
    <n v="4"/>
    <n v="4"/>
    <n v="3.6666666666666665"/>
    <n v="3.9444444444444446"/>
    <n v="4.1574074074074074"/>
    <n v="4.0314814814814817"/>
    <n v="4.0062962962962967"/>
    <n v="4"/>
    <n v="3.1666666666666665"/>
    <n v="3.6944444444444446"/>
  </r>
  <r>
    <n v="21"/>
    <n v="45948.209305555552"/>
    <n v="45948.215381944443"/>
    <s v="anonymous"/>
    <m/>
    <s v="18-24"/>
    <s v="Prefer not to say"/>
    <s v="Post-secondary qualification"/>
    <s v="Student"/>
    <s v="Single"/>
    <x v="0"/>
    <s v="Mixed or Multiple ethnic groups (e.g. White and Black Caribbean, White and Asian)"/>
    <s v="Monzo;Other;"/>
    <s v="English"/>
    <n v="4"/>
    <n v="3"/>
    <n v="2"/>
    <n v="3"/>
    <n v="3"/>
    <n v="3"/>
    <n v="3"/>
    <n v="2"/>
    <n v="3"/>
    <n v="3"/>
    <n v="3"/>
    <n v="3"/>
    <n v="3"/>
    <n v="3"/>
    <n v="4"/>
    <n v="4"/>
    <n v="4"/>
    <n v="3"/>
    <n v="3"/>
    <n v="2"/>
    <n v="3"/>
    <n v="4"/>
    <n v="4"/>
    <n v="3"/>
    <n v="3"/>
    <n v="4"/>
    <n v="4"/>
    <n v="2"/>
    <n v="3"/>
    <n v="2"/>
    <n v="2"/>
    <n v="2"/>
    <n v="2"/>
    <n v="2"/>
    <n v="2"/>
    <n v="2"/>
    <n v="2"/>
    <n v="2"/>
    <n v="2"/>
    <n v="2"/>
    <n v="3"/>
    <n v="3"/>
    <n v="3"/>
    <n v="2"/>
    <n v="3"/>
    <n v="3"/>
    <n v="4"/>
    <n v="3"/>
    <n v="2.6"/>
    <n v="2.9333333333333336"/>
    <n v="3.4888888888888889"/>
    <n v="3.248148148148148"/>
    <n v="3.2496296296296294"/>
    <n v="2.4499259259259256"/>
    <n v="2"/>
    <n v="2.3333333333333335"/>
    <n v="2.8888888888888888"/>
  </r>
  <r>
    <n v="22"/>
    <n v="45948.350092592591"/>
    <n v="45948.353576388887"/>
    <s v="anonymous"/>
    <m/>
    <s v="45-54"/>
    <s v="Woman"/>
    <s v="Doctoral or professional degree"/>
    <s v="Employed full-time"/>
    <s v="Married"/>
    <x v="0"/>
    <s v="Black, Black British, Caribbean or African"/>
    <s v="Lloyds Bank;"/>
    <s v="English"/>
    <n v="4"/>
    <n v="4"/>
    <n v="4"/>
    <n v="4"/>
    <n v="4"/>
    <n v="4"/>
    <n v="4"/>
    <n v="4"/>
    <n v="4"/>
    <n v="4"/>
    <n v="3"/>
    <n v="3"/>
    <n v="3"/>
    <n v="1"/>
    <n v="4"/>
    <n v="4"/>
    <n v="3"/>
    <n v="3"/>
    <n v="3"/>
    <n v="3"/>
    <n v="4"/>
    <n v="4"/>
    <n v="3"/>
    <n v="2"/>
    <n v="2"/>
    <n v="4"/>
    <n v="4"/>
    <n v="4"/>
    <n v="4"/>
    <n v="4"/>
    <n v="4"/>
    <n v="4"/>
    <n v="4"/>
    <n v="3"/>
    <n v="3"/>
    <n v="2"/>
    <n v="3"/>
    <n v="1"/>
    <n v="1"/>
    <n v="1"/>
    <n v="2"/>
    <n v="2"/>
    <n v="4"/>
    <n v="1"/>
    <n v="2"/>
    <n v="1"/>
    <n v="4"/>
    <n v="4"/>
    <n v="3.8"/>
    <n v="2.9666666666666668"/>
    <n v="3.3277777777777779"/>
    <n v="3.2212962962962965"/>
    <n v="3.4442592592592591"/>
    <n v="3.888851851851852"/>
    <n v="3"/>
    <n v="1.6666666666666667"/>
    <n v="2.2777777777777777"/>
  </r>
  <r>
    <n v="23"/>
    <n v="45948.625416666669"/>
    <n v="45948.628657407404"/>
    <s v="anonymous"/>
    <m/>
    <s v="45-54"/>
    <s v="Woman"/>
    <s v="Master’s degree"/>
    <s v="Employed full-time"/>
    <s v="Married"/>
    <x v="0"/>
    <s v="Black, Black British, Caribbean or African"/>
    <s v="Other;"/>
    <s v="English"/>
    <n v="4"/>
    <n v="2"/>
    <n v="4"/>
    <n v="2"/>
    <n v="4"/>
    <n v="4"/>
    <n v="4"/>
    <n v="4"/>
    <n v="4"/>
    <n v="3"/>
    <n v="3"/>
    <n v="2"/>
    <n v="3"/>
    <n v="2"/>
    <n v="4"/>
    <n v="4"/>
    <n v="2"/>
    <n v="3"/>
    <n v="3"/>
    <n v="4"/>
    <n v="4"/>
    <n v="3"/>
    <n v="2"/>
    <n v="2"/>
    <n v="4"/>
    <n v="4"/>
    <n v="4"/>
    <n v="3"/>
    <n v="4"/>
    <n v="2"/>
    <n v="4"/>
    <n v="4"/>
    <n v="3"/>
    <n v="3"/>
    <n v="3"/>
    <n v="2"/>
    <n v="4"/>
    <n v="2"/>
    <n v="2"/>
    <n v="2"/>
    <n v="2"/>
    <n v="2"/>
    <n v="2"/>
    <n v="2"/>
    <n v="2"/>
    <n v="2"/>
    <n v="4"/>
    <n v="3.2"/>
    <n v="4"/>
    <n v="2.833333333333333"/>
    <n v="3.1388888888888888"/>
    <n v="3.0231481481481479"/>
    <n v="3.6046296296296294"/>
    <n v="3.5209259259259258"/>
    <n v="3"/>
    <n v="2.1666666666666665"/>
    <n v="2.3611111111111112"/>
  </r>
  <r>
    <n v="24"/>
    <n v="45950.359293981484"/>
    <n v="45950.362893518519"/>
    <s v="anonymous"/>
    <m/>
    <s v="45-54"/>
    <s v="Man"/>
    <s v="Doctoral or professional degree"/>
    <s v="Employed full-time"/>
    <s v="Married"/>
    <x v="0"/>
    <s v="Black, Black British, Caribbean or African"/>
    <s v="Natwest;"/>
    <s v="English"/>
    <n v="4"/>
    <n v="4"/>
    <n v="4"/>
    <n v="1"/>
    <n v="4"/>
    <n v="4"/>
    <n v="2"/>
    <n v="2"/>
    <n v="2"/>
    <n v="2"/>
    <n v="4"/>
    <n v="4"/>
    <n v="4"/>
    <n v="2"/>
    <n v="4"/>
    <n v="4"/>
    <n v="2"/>
    <n v="2"/>
    <n v="2"/>
    <n v="2"/>
    <n v="3"/>
    <n v="2"/>
    <n v="2"/>
    <n v="2"/>
    <n v="2"/>
    <n v="4"/>
    <n v="4"/>
    <n v="3"/>
    <n v="4"/>
    <n v="4"/>
    <n v="4"/>
    <n v="4"/>
    <n v="2"/>
    <n v="2"/>
    <n v="2"/>
    <n v="2"/>
    <n v="2"/>
    <n v="3"/>
    <n v="3"/>
    <n v="2"/>
    <n v="3"/>
    <n v="3"/>
    <n v="2"/>
    <n v="3"/>
    <n v="2"/>
    <n v="2"/>
    <n v="2"/>
    <n v="3.4"/>
    <n v="2.4"/>
    <n v="3.0666666666666664"/>
    <n v="2.8444444444444446"/>
    <n v="2.3074074074074074"/>
    <n v="3.0614814814814815"/>
    <n v="3.8122962962962963"/>
    <n v="2"/>
    <n v="2.6666666666666665"/>
    <n v="2.2777777777777777"/>
  </r>
  <r>
    <n v="25"/>
    <n v="45961.505590277775"/>
    <n v="45961.509189814817"/>
    <s v="anonymous"/>
    <m/>
    <s v="18-24"/>
    <s v="Woman"/>
    <s v="Master’s degree"/>
    <s v="Employed part-time"/>
    <s v="Single"/>
    <x v="0"/>
    <s v="Asian or Asian British (e.g. Indian, Pakistani, Chinese, other Asian background)"/>
    <s v="Other;"/>
    <s v="English"/>
    <n v="3"/>
    <n v="3"/>
    <n v="3"/>
    <n v="4"/>
    <n v="3"/>
    <n v="3"/>
    <n v="4"/>
    <n v="3"/>
    <n v="3"/>
    <n v="3"/>
    <n v="3"/>
    <n v="4"/>
    <n v="4"/>
    <n v="3"/>
    <n v="4"/>
    <n v="4"/>
    <n v="4"/>
    <n v="3"/>
    <n v="3"/>
    <n v="3"/>
    <n v="3"/>
    <n v="3"/>
    <n v="3"/>
    <n v="2"/>
    <n v="2"/>
    <n v="4"/>
    <n v="4"/>
    <n v="2"/>
    <n v="4"/>
    <n v="4"/>
    <n v="4"/>
    <n v="3"/>
    <n v="3"/>
    <n v="3"/>
    <n v="3"/>
    <n v="3"/>
    <n v="3"/>
    <n v="3"/>
    <n v="3"/>
    <n v="4"/>
    <n v="3"/>
    <n v="4"/>
    <n v="3"/>
    <n v="3"/>
    <n v="3"/>
    <n v="3"/>
    <n v="3"/>
    <n v="3.2"/>
    <n v="3.2"/>
    <n v="3.3666666666666667"/>
    <n v="3.5611111111111109"/>
    <n v="2.9268518518518518"/>
    <n v="2.9853703703703705"/>
    <n v="3.5970740740740741"/>
    <n v="3"/>
    <n v="3.3333333333333335"/>
    <n v="3.0555555555555554"/>
  </r>
  <r>
    <n v="26"/>
    <n v="45979.602280092593"/>
    <n v="45979.604768518519"/>
    <s v="anonymous"/>
    <m/>
    <s v="25-34"/>
    <s v="Man"/>
    <s v="Master’s degree"/>
    <s v="Employed full-time"/>
    <s v="In a relationship"/>
    <x v="0"/>
    <s v="White (e.g. British, Irish, other White background)"/>
    <s v="Lloyds Bank;Other;"/>
    <s v="English"/>
    <n v="1"/>
    <n v="2"/>
    <n v="4"/>
    <n v="5"/>
    <n v="3"/>
    <n v="4"/>
    <n v="3"/>
    <n v="5"/>
    <n v="3"/>
    <n v="5"/>
    <n v="5"/>
    <n v="3"/>
    <n v="4"/>
    <n v="1"/>
    <n v="5"/>
    <n v="5"/>
    <n v="3"/>
    <n v="2"/>
    <n v="4"/>
    <n v="4"/>
    <n v="4"/>
    <n v="3"/>
    <n v="2"/>
    <n v="4"/>
    <n v="2"/>
    <n v="5"/>
    <n v="4"/>
    <n v="2"/>
    <n v="5"/>
    <n v="5"/>
    <n v="5"/>
    <n v="5"/>
    <n v="3"/>
    <n v="4"/>
    <n v="3"/>
    <n v="2"/>
    <n v="4"/>
    <n v="4"/>
    <n v="3"/>
    <n v="3"/>
    <n v="4"/>
    <n v="4"/>
    <n v="3"/>
    <n v="3"/>
    <n v="3"/>
    <n v="2"/>
    <n v="5"/>
    <n v="3"/>
    <n v="3.8"/>
    <n v="3.6333333333333333"/>
    <n v="3.7722222222222221"/>
    <n v="3.462037037037037"/>
    <n v="3.2924074074074072"/>
    <n v="4.6584814814814814"/>
    <n v="3.2"/>
    <n v="3.5333333333333332"/>
    <n v="3.2555555555555555"/>
  </r>
  <r>
    <n v="27"/>
    <n v="45980.056805555556"/>
    <n v="45980.059537037036"/>
    <s v="anonymous"/>
    <m/>
    <s v="18-24"/>
    <s v="Woman"/>
    <s v="Bachelor’s degree"/>
    <s v="Employed part-time"/>
    <s v="Single"/>
    <x v="0"/>
    <s v="Asian or Asian British (e.g. Indian, Pakistani, Chinese, other Asian background)"/>
    <s v="Monzo;Other;"/>
    <s v="English"/>
    <n v="2"/>
    <n v="2"/>
    <n v="4"/>
    <n v="5"/>
    <n v="5"/>
    <n v="3"/>
    <n v="3"/>
    <n v="3"/>
    <n v="5"/>
    <n v="5"/>
    <n v="5"/>
    <n v="5"/>
    <n v="5"/>
    <n v="3"/>
    <n v="5"/>
    <n v="5"/>
    <n v="4"/>
    <n v="4"/>
    <n v="4"/>
    <n v="4"/>
    <n v="3"/>
    <n v="4"/>
    <n v="5"/>
    <n v="3"/>
    <n v="3"/>
    <n v="3"/>
    <n v="3"/>
    <n v="4"/>
    <n v="4"/>
    <n v="5"/>
    <n v="5"/>
    <n v="5"/>
    <n v="5"/>
    <n v="5"/>
    <m/>
    <n v="4"/>
    <n v="4"/>
    <n v="2"/>
    <n v="3"/>
    <n v="4"/>
    <n v="4"/>
    <n v="4"/>
    <n v="4"/>
    <n v="2"/>
    <n v="2"/>
    <n v="2"/>
    <n v="2"/>
    <n v="3.6"/>
    <n v="3.6"/>
    <n v="4.4333333333333336"/>
    <n v="4.4055555555555559"/>
    <n v="3.9009259259259261"/>
    <n v="3.3801851851851854"/>
    <n v="4.4760370370370373"/>
    <n v="4.5"/>
    <n v="3.5833333333333335"/>
    <n v="2.5972222222222223"/>
  </r>
  <r>
    <n v="28"/>
    <n v="45981.483229166668"/>
    <n v="45981.489432870374"/>
    <s v="anonymous"/>
    <m/>
    <s v="25-34"/>
    <s v="Man"/>
    <s v="Bachelor’s degree"/>
    <s v="Student"/>
    <s v="Single"/>
    <x v="0"/>
    <s v="Asian or Asian British (e.g. Indian, Pakistani, Chinese, other Asian background)"/>
    <s v="Lloyds Bank;Monzo;"/>
    <s v="English"/>
    <n v="3"/>
    <n v="3"/>
    <n v="4"/>
    <n v="5"/>
    <n v="4"/>
    <n v="4"/>
    <n v="4"/>
    <n v="3"/>
    <n v="3"/>
    <n v="3"/>
    <n v="2"/>
    <n v="3"/>
    <n v="2"/>
    <n v="2"/>
    <n v="4"/>
    <n v="3"/>
    <n v="3"/>
    <n v="3"/>
    <n v="2"/>
    <n v="3"/>
    <n v="3"/>
    <n v="3"/>
    <n v="3"/>
    <n v="2"/>
    <n v="2"/>
    <n v="4"/>
    <n v="4"/>
    <n v="3"/>
    <n v="4"/>
    <n v="4"/>
    <n v="4"/>
    <n v="4"/>
    <n v="3"/>
    <n v="3"/>
    <n v="3"/>
    <n v="2"/>
    <n v="3"/>
    <n v="2"/>
    <n v="3"/>
    <n v="2"/>
    <n v="2"/>
    <n v="3"/>
    <n v="4"/>
    <n v="3"/>
    <n v="3"/>
    <n v="3"/>
    <n v="3"/>
    <n v="3.8"/>
    <n v="3.4"/>
    <n v="2.5666666666666664"/>
    <n v="2.9277777777777776"/>
    <n v="2.8212962962962962"/>
    <n v="3.1642592592592593"/>
    <n v="3.832851851851852"/>
    <n v="2.8"/>
    <n v="2.4666666666666668"/>
    <n v="3.0777777777777779"/>
  </r>
  <r>
    <n v="29"/>
    <n v="45982.553761574076"/>
    <n v="45982.555787037039"/>
    <s v="anonymous"/>
    <m/>
    <s v="45-54"/>
    <s v="Woman"/>
    <s v="Post-secondary qualification"/>
    <s v="Unemployed"/>
    <s v="Divorced"/>
    <x v="0"/>
    <s v="White (e.g. British, Irish, other White background)"/>
    <s v="Other;"/>
    <s v="English "/>
    <n v="1"/>
    <n v="1"/>
    <n v="3"/>
    <n v="4"/>
    <n v="3"/>
    <n v="3"/>
    <n v="3"/>
    <n v="3"/>
    <n v="3"/>
    <n v="4"/>
    <n v="4"/>
    <n v="3"/>
    <n v="4"/>
    <n v="2"/>
    <n v="4"/>
    <n v="4"/>
    <n v="3"/>
    <n v="3"/>
    <n v="4"/>
    <n v="3"/>
    <n v="4"/>
    <n v="4"/>
    <n v="4"/>
    <n v="2"/>
    <n v="2"/>
    <n v="4"/>
    <n v="4"/>
    <n v="3"/>
    <n v="4"/>
    <n v="4"/>
    <n v="4"/>
    <n v="4"/>
    <n v="4"/>
    <n v="4"/>
    <n v="4"/>
    <n v="2"/>
    <n v="4"/>
    <n v="2"/>
    <n v="3"/>
    <n v="3"/>
    <n v="3"/>
    <n v="2"/>
    <n v="3"/>
    <n v="3"/>
    <n v="4"/>
    <n v="3"/>
    <n v="4"/>
    <n v="2.4"/>
    <n v="3.2"/>
    <n v="3.3666666666666667"/>
    <n v="3.5611111111111109"/>
    <n v="3.4268518518518518"/>
    <n v="3.2853703703703703"/>
    <n v="3.8570740740740739"/>
    <n v="3.6"/>
    <n v="2.7666666666666666"/>
    <n v="3.2944444444444443"/>
  </r>
  <r>
    <n v="30"/>
    <n v="45984.504699074074"/>
    <n v="45984.511446759258"/>
    <s v="anonymous"/>
    <m/>
    <s v="25-34"/>
    <s v="Woman"/>
    <s v="Bachelor’s degree"/>
    <s v="Employed full-time"/>
    <s v="Single"/>
    <x v="0"/>
    <s v="White (e.g. British, Irish, other White background)"/>
    <s v="Other;"/>
    <s v="English"/>
    <n v="1"/>
    <n v="1"/>
    <n v="3"/>
    <n v="3"/>
    <n v="3"/>
    <n v="3"/>
    <n v="3"/>
    <n v="3"/>
    <n v="3"/>
    <n v="3"/>
    <n v="3"/>
    <n v="4"/>
    <n v="3"/>
    <n v="2"/>
    <n v="4"/>
    <n v="4"/>
    <n v="3"/>
    <n v="3"/>
    <n v="3"/>
    <n v="4"/>
    <n v="4"/>
    <n v="4"/>
    <n v="4"/>
    <n v="4"/>
    <n v="4"/>
    <n v="4"/>
    <n v="4"/>
    <n v="4"/>
    <n v="5"/>
    <n v="4"/>
    <n v="4"/>
    <n v="4"/>
    <m/>
    <n v="4"/>
    <n v="4"/>
    <n v="4"/>
    <n v="4"/>
    <n v="3"/>
    <n v="3"/>
    <n v="4"/>
    <n v="3"/>
    <n v="4"/>
    <n v="3"/>
    <n v="3"/>
    <n v="3"/>
    <n v="3"/>
    <n v="5"/>
    <n v="2.2000000000000002"/>
    <n v="3.2"/>
    <n v="3.0333333333333332"/>
    <n v="3.338888888888889"/>
    <n v="3.8898148148148151"/>
    <n v="3.9779629629629629"/>
    <n v="4.1955925925925923"/>
    <n v="4"/>
    <n v="3.5"/>
    <n v="3.41666666666666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12A4C-5F0B-4375-8D66-FCBFCA13937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K7" firstHeaderRow="0" firstDataRow="1" firstDataCol="1"/>
  <pivotFields count="7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0"/>
  </rowFields>
  <rowItems count="4">
    <i>
      <x/>
    </i>
    <i>
      <x v="1"/>
    </i>
    <i>
      <x v="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Empathy" fld="69" subtotal="average" baseField="10" baseItem="0"/>
    <dataField name="Accuracy" fld="68" subtotal="average" baseField="10" baseItem="0"/>
    <dataField name="Speed" fld="67" subtotal="average" baseField="10" baseItem="0"/>
    <dataField name="Convenience" fld="66" subtotal="average" baseField="10" baseItem="0"/>
    <dataField name="Helpfulness" fld="65" subtotal="average" baseField="10" baseItem="0"/>
    <dataField name="Ease of Use" fld="64" subtotal="average" baseField="10" baseItem="0"/>
    <dataField name="Trust" fld="63" subtotal="average" baseField="10" baseItem="0"/>
    <dataField name="Satisfaction" fld="62" subtotal="average" baseField="10" baseItem="0"/>
    <dataField name="Usage" fld="61" subtotal="average" baseField="10" baseItem="0"/>
    <dataField name="Personalisation" fld="70" subtotal="average" baseField="10" baseItem="0"/>
  </dataFields>
  <formats count="2">
    <format dxfId="47">
      <pivotArea outline="0" collapsedLevelsAreSubtotals="1" fieldPosition="0"/>
    </format>
    <format dxfId="46">
      <pivotArea collapsedLevelsAreSubtotals="1" fieldPosition="0">
        <references count="1">
          <reference field="10" count="0"/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2D9C7-D300-41F6-B13A-F3BD7F642E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F14" firstHeaderRow="0" firstDataRow="1" firstDataCol="1"/>
  <pivotFields count="6">
    <pivotField axis="axisRow" showAll="0">
      <items count="11">
        <item x="7"/>
        <item x="5"/>
        <item x="3"/>
        <item x="8"/>
        <item x="4"/>
        <item x="9"/>
        <item x="1"/>
        <item x="6"/>
        <item x="2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Strongly Agree" fld="1" baseField="0" baseItem="0"/>
    <dataField name=" Agree" fld="2" baseField="0" baseItem="0"/>
    <dataField name=" Neutral" fld="3" baseField="0" baseItem="0"/>
    <dataField name=" Disagree" fld="4" baseField="0" baseItem="0"/>
    <dataField name=" Strongly Disagree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5653AA-30C0-4177-B2D6-50AC016A6D43}" autoFormatId="16" applyNumberFormats="0" applyBorderFormats="0" applyFontFormats="0" applyPatternFormats="0" applyAlignmentFormats="0" applyWidthHeightFormats="0">
  <queryTableRefresh nextId="78">
    <queryTableFields count="71">
      <queryTableField id="1" name="Id" tableColumnId="1"/>
      <queryTableField id="2" name="Start time" tableColumnId="2"/>
      <queryTableField id="3" name="Completion time" tableColumnId="3"/>
      <queryTableField id="4" name="Email" tableColumnId="4"/>
      <queryTableField id="5" name="Name" tableColumnId="5"/>
      <queryTableField id="6" name="What is your age?_x000a_" tableColumnId="6"/>
      <queryTableField id="7" name="What is your gender?" tableColumnId="7"/>
      <queryTableField id="8" name="What is the highest level of education that you have completed?" tableColumnId="8"/>
      <queryTableField id="9" name="What is your employment status?_x000a_" tableColumnId="9"/>
      <queryTableField id="10" name="What is your marital status?_x000a_" tableColumnId="10"/>
      <queryTableField id="11" name="What is your country of residence?_x000a_" tableColumnId="11"/>
      <queryTableField id="12" name="What is your ethnic group?_x000a_" tableColumnId="12"/>
      <queryTableField id="13" name="Which bank or banks do you currently use (please select all that apply)" tableColumnId="13"/>
      <queryTableField id="14" name="What is your primary language?" tableColumnId="14"/>
      <queryTableField id="15" name="Usage _x000a_.I frequently use the banks chatbot to get support. " tableColumnId="15"/>
      <queryTableField id="16" name="Usage _x000a_.Using the chatbot has become a natural part of my banking routine." tableColumnId="16"/>
      <queryTableField id="17" name="Usage _x000a_.It is easy for me to start a conversation with the chatbot whenever I need help." tableColumnId="17"/>
      <queryTableField id="18" name="Usage _x000a_.I have no difficulty remembering how to use the chatbot features. " tableColumnId="18"/>
      <queryTableField id="19" name="Usage _x000a_.I intend to continue using the chatbot in future." tableColumnId="19"/>
      <queryTableField id="20" name="Satisfaction.I am satisfied with the bank’s  chatbot service." tableColumnId="20"/>
      <queryTableField id="21" name="Satisfaction.The chatbot did a good job." tableColumnId="21"/>
      <queryTableField id="22" name="Satisfaction.The chatbot did what I expected." tableColumnId="22"/>
      <queryTableField id="23" name="Satisfaction.I am happy with the experience that I had with the chatbot. " tableColumnId="23"/>
      <queryTableField id="24" name="Trust _x000a_.The chatbot provided accurate information." tableColumnId="24"/>
      <queryTableField id="25" name="Trust _x000a_.I trust the chatbot to protect my personal and financial information. " tableColumnId="25"/>
      <queryTableField id="26" name="Trust _x000a_.I believe the chatbot acts in my best interests." tableColumnId="26"/>
      <queryTableField id="27" name="Trust _x000a_.I believe the chatbot provides honest and transparent information." tableColumnId="27"/>
      <queryTableField id="28" name="Trust _x000a_.I am more comfortable sharing information with the chatbot than with a human representative." tableColumnId="28"/>
      <queryTableField id="29" name="Ease of Use.The chatbot was easy to use and navigate. " tableColumnId="29"/>
      <queryTableField id="30" name="Ease of Use.The chatbot's instructions were clear and easy to follow." tableColumnId="30"/>
      <queryTableField id="31" name="Ease of Use.The chatbot saved me time compared to other ways of getting support." tableColumnId="31"/>
      <queryTableField id="32" name="Ease of Use.I rarely felt frustrated while using the chatbot." tableColumnId="32"/>
      <queryTableField id="33" name="Ease of Use.The chatbot worked as expected without errors." tableColumnId="33"/>
      <queryTableField id="34" name="Helpfulness _x000a_.The   chatbot provided helpful responses to my queries." tableColumnId="34"/>
      <queryTableField id="35" name="Helpfulness _x000a_.The chatbot recommended services or products that were relevant to my needs. " tableColumnId="35"/>
      <queryTableField id="36" name="Helpfulness _x000a_.The chatbot provided me with enough information to proceed confidently." tableColumnId="36"/>
      <queryTableField id="37" name="Helpfulness _x000a_.The chatbot saved me from needing to use other support channels." tableColumnId="37"/>
      <queryTableField id="38" name="Helpfulness _x000a_.I preferred using the chatbot to get help instead of calling or visiting the bank." tableColumnId="38"/>
      <queryTableField id="39" name="Convenience .I found using the chatbot more convenient than speaking with a human customer service representative." tableColumnId="39"/>
      <queryTableField id="40" name="Convenience .The chatbot was available when I needed assistance." tableColumnId="40"/>
      <queryTableField id="41" name="Convenience .I could use the chatbot at a time that was convenient for me." tableColumnId="41"/>
      <queryTableField id="42" name="Convenience .I didn't have to repeat myself multiple times when using the chatbot." tableColumnId="42"/>
      <queryTableField id="43" name="Response speed .On average, the chatbot typically responds quickly to my questions. " tableColumnId="43"/>
      <queryTableField id="44" name="Response speed .The chatbot provided answers without unnecessary delays." tableColumnId="44"/>
      <queryTableField id="45" name="Response speed .I did not experience long wait times when using the chatbot." tableColumnId="45"/>
      <queryTableField id="46" name="Response speed .I was able to get help immediately through the chatbot." tableColumnId="46"/>
      <queryTableField id="47" name="Response accuracy.The chatbot responses were accurate and relevant to my questions. " tableColumnId="47"/>
      <queryTableField id="48" name="Response accuracy.The chatbot stayed on topic during the conversation." tableColumnId="48"/>
      <queryTableField id="49" name="Response accuracy.The chatbot's responses were relevant to my questions." tableColumnId="49"/>
      <queryTableField id="51" name="Response accuracy.The chatbot was as accurate as a human customer service representative." tableColumnId="51"/>
      <queryTableField id="64" name="Acurracy_Incorrect_R" tableColumnId="64"/>
      <queryTableField id="52" name="Empathy.The chatbot recognised my emotions and concerns." tableColumnId="52"/>
      <queryTableField id="53" name="Empathy.The chatbot responded in a caring and considerate way." tableColumnId="53"/>
      <queryTableField id="54" name="Empathy.The chatbot understood my situation well. " tableColumnId="54"/>
      <queryTableField id="63" name="Empathy_Ignore_R" tableColumnId="63"/>
      <queryTableField id="62" name="Empathy_Cold_R" tableColumnId="62"/>
      <queryTableField id="57" name="Personalisation.The   chatbot asked me personalised questions to understand my needs better." tableColumnId="57"/>
      <queryTableField id="58" name="Personalisation.The   chatbot adapted its tone to adjust its communication style." tableColumnId="58"/>
      <queryTableField id="59" name="Personalisation.The   chatbot remembered my previous responses or preferences during the   conversation." tableColumnId="59"/>
      <queryTableField id="60" name="Personalisation.The chatbot made my interaction with the bank feel more personal." tableColumnId="60"/>
      <queryTableField id="61" name="Personalisation.The chatbot allowed me to communicate in my preferred language. " tableColumnId="61"/>
      <queryTableField id="65" name="Usage_Avg" tableColumnId="65"/>
      <queryTableField id="66" name="Satisfaction_Avg" tableColumnId="66"/>
      <queryTableField id="67" name="Trust_Avg" tableColumnId="67"/>
      <queryTableField id="68" name="Ease_of_Use_Avg" tableColumnId="68"/>
      <queryTableField id="69" name="Helpfulness_Avg" tableColumnId="69"/>
      <queryTableField id="70" name="Convenience_Avg" tableColumnId="70"/>
      <queryTableField id="71" name="Speed_Avg" tableColumnId="71"/>
      <queryTableField id="72" name="Accuracy_Avg" tableColumnId="72"/>
      <queryTableField id="73" name="Empathy_Avg" tableColumnId="73"/>
      <queryTableField id="74" name="Personalisation_Avg" tableColumnId="7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38EB09-F7E6-4FE4-8DE3-89BA20CD8185}" name="Table6" displayName="Table6" ref="A1:BI31" totalsRowShown="0">
  <autoFilter ref="A1:BI31" xr:uid="{3A38EB09-F7E6-4FE4-8DE3-89BA20CD8185}"/>
  <tableColumns count="61">
    <tableColumn id="1" xr3:uid="{11DDC131-24F8-473E-B745-C1724901DEA9}" name="Id"/>
    <tableColumn id="2" xr3:uid="{BEE3C63F-A2A2-478A-8B10-286635EEAB43}" name="Start time" dataDxfId="106"/>
    <tableColumn id="3" xr3:uid="{479F3C88-C33F-467F-8C27-E98AB45C80E9}" name="Completion time" dataDxfId="105"/>
    <tableColumn id="4" xr3:uid="{098F502A-203F-4957-96CC-A82686780A13}" name="Email" dataDxfId="104"/>
    <tableColumn id="5" xr3:uid="{70F24ED8-06CC-4952-A4BD-3615F8A9FFF8}" name="Name"/>
    <tableColumn id="6" xr3:uid="{5C85C45F-C280-42E3-81E2-CB4FE4DEC8B9}" name="What is your age?_x000a_" dataDxfId="103"/>
    <tableColumn id="7" xr3:uid="{F1CFDB52-C983-43C0-B067-8531B2EB236B}" name="What is your gender?" dataDxfId="102"/>
    <tableColumn id="8" xr3:uid="{43170381-CFC3-40BC-A983-A142CA9B6D85}" name="What is the highest level of education that you have completed?" dataDxfId="101"/>
    <tableColumn id="9" xr3:uid="{9ECE04FD-BACD-492B-9330-24C54CEC0753}" name="What is your employment status?_x000a_" dataDxfId="100"/>
    <tableColumn id="10" xr3:uid="{32D1A4F5-09E9-4D8D-94B2-764FFC4ED25A}" name="What is your marital status?_x000a_" dataDxfId="99"/>
    <tableColumn id="11" xr3:uid="{F8B3A32C-8F8D-44C7-80B5-A19336D94C11}" name="What is your country of residence?_x000a_" dataDxfId="98"/>
    <tableColumn id="12" xr3:uid="{233DD595-7863-4EB8-9F7D-0966AECC0ED3}" name="What is your ethnic group?_x000a_" dataDxfId="97"/>
    <tableColumn id="13" xr3:uid="{349CAD49-09CC-4CBF-83EE-7D49B6C72001}" name="Which bank or banks do you currently use (please select all that apply)" dataDxfId="96"/>
    <tableColumn id="14" xr3:uid="{566427CC-D600-4CDC-9747-AB68D6F91151}" name="What is your primary language?" dataDxfId="95"/>
    <tableColumn id="15" xr3:uid="{F4FD0AAB-BA68-40ED-A7B9-B8C1B4BD0C80}" name="Usage _x000a_.I frequently use the banks chatbot to get support. " dataDxfId="94"/>
    <tableColumn id="16" xr3:uid="{C13D0877-F081-497B-98A2-72715DA677D7}" name="Usage _x000a_.Using the chatbot has become a natural part of my banking routine." dataDxfId="93"/>
    <tableColumn id="17" xr3:uid="{AB5A9160-08A7-42CC-8FE6-587F8E1BC923}" name="Usage _x000a_.It is easy for me to start a conversation with the chatbot whenever I need help." dataDxfId="92"/>
    <tableColumn id="18" xr3:uid="{EC5340DD-75E2-4EF5-9D8A-14DC1346350D}" name="Usage _x000a_.I have no difficulty remembering how to use the chatbot features. " dataDxfId="91"/>
    <tableColumn id="19" xr3:uid="{DECEDB1D-31AC-49B3-A14B-89ACE35E372F}" name="Usage _x000a_.I intend to continue using the chatbot in future." dataDxfId="90"/>
    <tableColumn id="20" xr3:uid="{CB0A1C8B-BE7A-432F-ACC6-377B87347C7C}" name="Satisfaction.I am satisfied with the bank’s  chatbot service." dataDxfId="89"/>
    <tableColumn id="21" xr3:uid="{57A675E1-223C-4481-A979-94E8F33A3CB5}" name="Satisfaction.The chatbot did a good job." dataDxfId="88"/>
    <tableColumn id="22" xr3:uid="{8C5CFD7C-C963-40F3-948A-DA8A56A71912}" name="Satisfaction.The chatbot did what I expected." dataDxfId="87"/>
    <tableColumn id="23" xr3:uid="{B181FB53-A134-4068-BA74-F7DAA584AB11}" name="Satisfaction.I am happy with the experience that I had with the chatbot. " dataDxfId="86"/>
    <tableColumn id="24" xr3:uid="{EEE19893-E1F9-4942-AD34-3CA37A069E75}" name="Trust _x000a_.The chatbot provided accurate information." dataDxfId="85"/>
    <tableColumn id="25" xr3:uid="{2FD361FC-1372-4418-8EDF-716842E99B8C}" name="Trust _x000a_.I trust the chatbot to protect my personal and financial information. " dataDxfId="84"/>
    <tableColumn id="26" xr3:uid="{A7460DDE-EEA1-42F2-A42D-3B66A1190D3E}" name="Trust _x000a_.I believe the chatbot acts in my best interests." dataDxfId="83"/>
    <tableColumn id="27" xr3:uid="{07C1378B-59C7-4AE5-A0EB-59AA7E3EB070}" name="Trust _x000a_.I believe the chatbot provides honest and transparent information." dataDxfId="82"/>
    <tableColumn id="28" xr3:uid="{E2E89E20-CC4B-46EB-AB42-DD8196AF4A6D}" name="Trust _x000a_.I am more comfortable sharing information with the chatbot than with a human representative." dataDxfId="81"/>
    <tableColumn id="29" xr3:uid="{7F65E867-5DA5-463C-AC73-E65558B5D78C}" name="Ease of Use.The chatbot was easy to use and navigate. " dataDxfId="80"/>
    <tableColumn id="30" xr3:uid="{4911A5BD-7177-45EF-99D5-E272A2A07BEB}" name="Ease of Use.The chatbot's instructions were clear and easy to follow." dataDxfId="79"/>
    <tableColumn id="31" xr3:uid="{CEE8C401-3E94-4F30-A68A-6E8F36DC7F44}" name="Ease of Use.The chatbot saved me time compared to other ways of getting support." dataDxfId="78"/>
    <tableColumn id="32" xr3:uid="{B43EA70A-394D-46FF-A933-6B55973682EE}" name="Ease of Use.I rarely felt frustrated while using the chatbot." dataDxfId="77"/>
    <tableColumn id="33" xr3:uid="{D0240FC5-DE6A-4B0F-929E-FCD73551725E}" name="Ease of Use.The chatbot worked as expected without errors." dataDxfId="76"/>
    <tableColumn id="34" xr3:uid="{DD8245B6-482B-4C08-800A-C65F3563B997}" name="Helpfulness _x000a_.The   chatbot provided helpful responses to my queries." dataDxfId="75"/>
    <tableColumn id="35" xr3:uid="{0FE58AAB-33B3-4D68-88A2-47A6C974B399}" name="Helpfulness _x000a_.The chatbot recommended services or products that were relevant to my needs. " dataDxfId="74"/>
    <tableColumn id="36" xr3:uid="{BF31779A-E86C-4A49-A571-FE9F3D13989F}" name="Helpfulness _x000a_.The chatbot provided me with enough information to proceed confidently." dataDxfId="73"/>
    <tableColumn id="37" xr3:uid="{7807F037-2679-4F3D-968F-D373D172F21B}" name="Helpfulness _x000a_.The chatbot saved me from needing to use other support channels." dataDxfId="72"/>
    <tableColumn id="38" xr3:uid="{73A6293B-AE32-40CE-A43A-71A265886928}" name="Helpfulness _x000a_.I preferred using the chatbot to get help instead of calling or visiting the bank." dataDxfId="71"/>
    <tableColumn id="39" xr3:uid="{2C58A5C2-897B-4473-921E-B9A1C002B79A}" name="Convenience .I found using the chatbot more convenient than speaking with a human customer service representative." dataDxfId="70"/>
    <tableColumn id="40" xr3:uid="{80270F6D-0B6F-44F4-AB10-B2041A5DCE51}" name="Convenience .The chatbot was available when I needed assistance." dataDxfId="69"/>
    <tableColumn id="41" xr3:uid="{A92441F2-06A8-4C30-9DB8-48184011290A}" name="Convenience .I could use the chatbot at a time that was convenient for me." dataDxfId="68"/>
    <tableColumn id="42" xr3:uid="{36D8A362-2284-41D2-91A5-729D6EF5C90A}" name="Convenience .I didn't have to repeat myself multiple times when using the chatbot." dataDxfId="67"/>
    <tableColumn id="43" xr3:uid="{CF444753-24EC-4955-BC24-5BBD9676D792}" name="Response speed .On average, the chatbot typically responds quickly to my questions. " dataDxfId="66"/>
    <tableColumn id="44" xr3:uid="{9D483D44-E11D-4781-9DA2-6090D5285592}" name="Response speed .The chatbot provided answers without unnecessary delays." dataDxfId="65"/>
    <tableColumn id="45" xr3:uid="{8C67C0D7-0CB5-4D51-8D99-8716AB47E3C8}" name="Response speed .I did not experience long wait times when using the chatbot." dataDxfId="64"/>
    <tableColumn id="46" xr3:uid="{211FF525-1C2D-4A35-9F7F-A055FF988ED2}" name="Response speed .I was able to get help immediately through the chatbot." dataDxfId="63"/>
    <tableColumn id="47" xr3:uid="{B95DDE45-54C9-4418-ACB0-78D160093640}" name="Response accuracy.The chatbot responses were accurate and relevant to my questions. " dataDxfId="62"/>
    <tableColumn id="48" xr3:uid="{9610D2C9-B864-4C46-B4D5-D4975BFB2C78}" name="Response accuracy.The chatbot stayed on topic during the conversation." dataDxfId="61"/>
    <tableColumn id="49" xr3:uid="{96DB8E23-D9C6-4DB6-B7C1-33A42AF9E189}" name="Response accuracy.The chatbot's responses were relevant to my questions." dataDxfId="60"/>
    <tableColumn id="50" xr3:uid="{59C24565-FECC-46F2-BBF3-DCE76463C8A2}" name="Response accuracy.The chatbot often gave incorrect or misleading answers." dataDxfId="59"/>
    <tableColumn id="51" xr3:uid="{B7C6DFDB-A0DD-4B43-BB7A-BDC8C340B589}" name="Response accuracy.The chatbot was as accurate as a human customer service representative." dataDxfId="58"/>
    <tableColumn id="52" xr3:uid="{D6D4B970-BAB8-44A8-B178-C440098C4682}" name="Empathy.The chatbot recognised my emotions and concerns." dataDxfId="57"/>
    <tableColumn id="53" xr3:uid="{2E46B8AE-6580-4B60-8743-542E03518EAA}" name="Empathy.The chatbot responded in a caring and considerate way." dataDxfId="56"/>
    <tableColumn id="54" xr3:uid="{EC46EA19-8E15-4683-8F58-00520847CF0B}" name="Empathy.The chatbot understood my situation well. " dataDxfId="55"/>
    <tableColumn id="55" xr3:uid="{63E18005-82EB-47B6-BF3F-8161B14211F6}" name="Empathy.The chatbot felt cold and impersonal." dataDxfId="54"/>
    <tableColumn id="56" xr3:uid="{25C01578-F23E-4865-9DDB-CDD73C4C7485}" name="Empathy.The chatbot ignored my feelings and focused only on tasks." dataDxfId="53"/>
    <tableColumn id="57" xr3:uid="{0FC94BB7-F1FD-4555-9849-CB695EFE612E}" name="Personalisation.The   chatbot asked me personalised questions to understand my needs better." dataDxfId="52"/>
    <tableColumn id="58" xr3:uid="{82A9D1D8-5CE2-4337-BBEB-B12611C74BE2}" name="Personalisation.The   chatbot adapted its tone to adjust its communication style." dataDxfId="51"/>
    <tableColumn id="59" xr3:uid="{BBDFC9A6-DA9B-41D1-BD7C-BF73F7DF5817}" name="Personalisation.The   chatbot remembered my previous responses or preferences during the   conversation." dataDxfId="50"/>
    <tableColumn id="60" xr3:uid="{D18E71F0-D8A3-4A08-A1E6-44B68C93BC46}" name="Personalisation.The chatbot made my interaction with the bank feel more personal." dataDxfId="49"/>
    <tableColumn id="61" xr3:uid="{80200457-8D86-41AA-A370-15F08115B26D}" name="Personalisation.The chatbot allowed me to communicate in my preferred language. " dataDxfId="4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1B1922-C341-45C3-BDB7-83245B6EF71D}" name="New_Clean" displayName="New_Clean" ref="A1:BS31" tableType="queryTable" totalsRowShown="0">
  <autoFilter ref="A1:BS31" xr:uid="{F91B1922-C341-45C3-BDB7-83245B6EF71D}"/>
  <tableColumns count="71">
    <tableColumn id="1" xr3:uid="{5A8A1D10-6FFD-4E03-A226-F71E8BF6929C}" uniqueName="1" name="Id" queryTableFieldId="1"/>
    <tableColumn id="2" xr3:uid="{035617E7-3387-46B2-A361-FFC9A2AA92AA}" uniqueName="2" name="Start time" queryTableFieldId="2"/>
    <tableColumn id="3" xr3:uid="{B0F7E836-3BE3-4642-83DE-4921349B2AC4}" uniqueName="3" name="Completion time" queryTableFieldId="3"/>
    <tableColumn id="4" xr3:uid="{BD989B56-88A8-4F55-B746-FDDA5EBA3B5A}" uniqueName="4" name="Email" queryTableFieldId="4"/>
    <tableColumn id="5" xr3:uid="{6864958C-F39E-447B-AE23-1516661ADFEC}" uniqueName="5" name="Name" queryTableFieldId="5"/>
    <tableColumn id="6" xr3:uid="{23B34828-380A-4768-A042-5BA218C32994}" uniqueName="6" name="What is your age?_x000a_" queryTableFieldId="6"/>
    <tableColumn id="7" xr3:uid="{FDDF9A01-E33B-41A2-8172-3F2C0252B0E3}" uniqueName="7" name="What is your gender?" queryTableFieldId="7"/>
    <tableColumn id="8" xr3:uid="{7EE8789D-C194-4301-A099-6D72FC8A7BEA}" uniqueName="8" name="What is the highest level of education that you have completed?" queryTableFieldId="8"/>
    <tableColumn id="9" xr3:uid="{C611720A-A93E-4B10-8C90-2D00CA4A65A9}" uniqueName="9" name="What is your employment status?_x000a_" queryTableFieldId="9"/>
    <tableColumn id="10" xr3:uid="{C4FD1028-DADC-4D96-AE86-004C988E9F6A}" uniqueName="10" name="What is your marital status?_x000a_" queryTableFieldId="10"/>
    <tableColumn id="11" xr3:uid="{CA2A35A7-BE31-4C38-99E3-F5149DFCEF8E}" uniqueName="11" name="What is your country of residence?_x000a_" queryTableFieldId="11"/>
    <tableColumn id="12" xr3:uid="{731A0003-AFD8-4719-BDBD-04DFF4D64FD7}" uniqueName="12" name="What is your ethnic group?_x000a_" queryTableFieldId="12"/>
    <tableColumn id="13" xr3:uid="{9F468000-B5F5-4DA5-A10E-B5B453A501FB}" uniqueName="13" name="Which bank or banks do you currently use (please select all that apply)" queryTableFieldId="13"/>
    <tableColumn id="14" xr3:uid="{EA7E2C02-B736-4154-8642-323A96DE0761}" uniqueName="14" name="What is your primary language?" queryTableFieldId="14"/>
    <tableColumn id="15" xr3:uid="{BD668417-D9B7-41DB-B727-5381E7709619}" uniqueName="15" name="Usage _x000a_.I frequently use the banks chatbot to get support. " queryTableFieldId="15" dataDxfId="45"/>
    <tableColumn id="16" xr3:uid="{3841E1AC-D854-41EA-B3C5-6D88A76531F0}" uniqueName="16" name="Usage _x000a_.Using the chatbot has become a natural part of my banking routine." queryTableFieldId="16" dataDxfId="44"/>
    <tableColumn id="17" xr3:uid="{2A71B72F-A6F2-46B9-B98E-BDF1A340FB96}" uniqueName="17" name="Usage _x000a_.It is easy for me to start a conversation with the chatbot whenever I need help." queryTableFieldId="17" dataDxfId="43"/>
    <tableColumn id="18" xr3:uid="{3CD00641-6101-4CA9-8660-2FAFDAB5C22D}" uniqueName="18" name="Usage _x000a_.I have no difficulty remembering how to use the chatbot features. " queryTableFieldId="18" dataDxfId="42"/>
    <tableColumn id="19" xr3:uid="{8B0E0571-C1AC-4E2C-AE4D-9B1F9963802E}" uniqueName="19" name="Usage _x000a_.I intend to continue using the chatbot in future." queryTableFieldId="19" dataDxfId="41"/>
    <tableColumn id="20" xr3:uid="{F835E76D-3EB4-4CDF-B746-9AF3C323BD47}" uniqueName="20" name="Satisfaction.I am satisfied with the bank’s  chatbot service." queryTableFieldId="20" dataDxfId="40"/>
    <tableColumn id="21" xr3:uid="{7E63E10E-C3FD-478D-8AA8-63BAA28158C0}" uniqueName="21" name="Satisfaction.The chatbot did a good job." queryTableFieldId="21" dataDxfId="39"/>
    <tableColumn id="22" xr3:uid="{66B5F5F7-1DC9-4894-A3D0-FAEC07E1C450}" uniqueName="22" name="Satisfaction.The chatbot did what I expected." queryTableFieldId="22" dataDxfId="38"/>
    <tableColumn id="23" xr3:uid="{37F1E4E6-F6AF-4857-8E8A-B47955584DCB}" uniqueName="23" name="Satisfaction.I am happy with the experience that I had with the chatbot. " queryTableFieldId="23" dataDxfId="37"/>
    <tableColumn id="24" xr3:uid="{DB1EED9F-4BB2-4966-AA22-52BF3BACFC6D}" uniqueName="24" name="Trust _x000a_.The chatbot provided accurate information." queryTableFieldId="24" dataDxfId="36"/>
    <tableColumn id="25" xr3:uid="{833D126A-58C6-408A-8960-D48F0CA9B16B}" uniqueName="25" name="Trust _x000a_.I trust the chatbot to protect my personal and financial information. " queryTableFieldId="25" dataDxfId="35"/>
    <tableColumn id="26" xr3:uid="{5C5052D2-B852-4E04-8AFC-4DBC69B3F35F}" uniqueName="26" name="Trust _x000a_.I believe the chatbot acts in my best interests." queryTableFieldId="26" dataDxfId="34"/>
    <tableColumn id="27" xr3:uid="{D4EB7FDD-A2E1-4B35-AE6F-CBDF0FC4099E}" uniqueName="27" name="Trust _x000a_.I believe the chatbot provides honest and transparent information." queryTableFieldId="27" dataDxfId="33"/>
    <tableColumn id="28" xr3:uid="{504B5A42-43A1-400A-A799-DE317CB715C2}" uniqueName="28" name="Trust _x000a_.I am more comfortable sharing information with the chatbot than with a human representative." queryTableFieldId="28" dataDxfId="32"/>
    <tableColumn id="29" xr3:uid="{BB3B7C8C-9146-4DD0-8E8E-EE2D12B68CCF}" uniqueName="29" name="Ease of Use.The chatbot was easy to use and navigate. " queryTableFieldId="29" dataDxfId="31"/>
    <tableColumn id="30" xr3:uid="{7A3137A7-4447-4A3C-A298-903B963AD370}" uniqueName="30" name="Ease of Use.The chatbot's instructions were clear and easy to follow." queryTableFieldId="30" dataDxfId="30"/>
    <tableColumn id="31" xr3:uid="{BDF88332-907F-47CE-B216-B195938B2322}" uniqueName="31" name="Ease of Use.The chatbot saved me time compared to other ways of getting support." queryTableFieldId="31" dataDxfId="29"/>
    <tableColumn id="32" xr3:uid="{F460B350-F256-4A86-A73E-4EE79995AD33}" uniqueName="32" name="Ease of Use.I rarely felt frustrated while using the chatbot." queryTableFieldId="32" dataDxfId="28"/>
    <tableColumn id="33" xr3:uid="{9A79631C-8BBE-4DE0-8CC4-33D6C15A20E3}" uniqueName="33" name="Ease of Use.The chatbot worked as expected without errors." queryTableFieldId="33" dataDxfId="27"/>
    <tableColumn id="34" xr3:uid="{5715B253-5A46-42DD-91BC-06EB7C20B937}" uniqueName="34" name="Helpfulness _x000a_.The   chatbot provided helpful responses to my queries." queryTableFieldId="34" dataDxfId="26"/>
    <tableColumn id="35" xr3:uid="{7197CD96-777F-478C-A9BE-BD479C843C32}" uniqueName="35" name="Helpfulness _x000a_.The chatbot recommended services or products that were relevant to my needs. " queryTableFieldId="35" dataDxfId="25"/>
    <tableColumn id="36" xr3:uid="{85B7350F-A56A-4259-BF3F-44717AAF865E}" uniqueName="36" name="Helpfulness _x000a_.The chatbot provided me with enough information to proceed confidently." queryTableFieldId="36" dataDxfId="24"/>
    <tableColumn id="37" xr3:uid="{C82E6BE8-3056-420E-A7C1-89F798570E07}" uniqueName="37" name="Helpfulness _x000a_.The chatbot saved me from needing to use other support channels." queryTableFieldId="37" dataDxfId="23"/>
    <tableColumn id="38" xr3:uid="{9C019D89-F2B0-4858-8081-4DFDEA5F7A89}" uniqueName="38" name="Helpfulness _x000a_.I preferred using the chatbot to get help instead of calling or visiting the bank." queryTableFieldId="38" dataDxfId="22"/>
    <tableColumn id="39" xr3:uid="{3788CA9A-F8CF-444F-8C93-083D714BAACF}" uniqueName="39" name="Convenience .I found using the chatbot more convenient than speaking with a human customer service representative." queryTableFieldId="39" dataDxfId="21"/>
    <tableColumn id="40" xr3:uid="{2E227AB6-A1B1-4383-A2E1-58C855CDAE09}" uniqueName="40" name="Convenience .The chatbot was available when I needed assistance." queryTableFieldId="40" dataDxfId="20"/>
    <tableColumn id="41" xr3:uid="{260926CF-29DA-4428-9688-91D0F6706D38}" uniqueName="41" name="Convenience .I could use the chatbot at a time that was convenient for me." queryTableFieldId="41" dataDxfId="19"/>
    <tableColumn id="42" xr3:uid="{03E20602-F6E3-4601-85A0-FBF41405314E}" uniqueName="42" name="Convenience .I didn't have to repeat myself multiple times when using the chatbot." queryTableFieldId="42" dataDxfId="18"/>
    <tableColumn id="43" xr3:uid="{215F0304-BB20-4449-9AFC-E37FADA5A7B1}" uniqueName="43" name="Response speed .On average, the chatbot typically responds quickly to my questions. " queryTableFieldId="43" dataDxfId="17"/>
    <tableColumn id="44" xr3:uid="{D0C50E3C-C813-493F-AB85-CB2B65C0F375}" uniqueName="44" name="Response speed .The chatbot provided answers without unnecessary delays." queryTableFieldId="44" dataDxfId="16"/>
    <tableColumn id="45" xr3:uid="{01FFA0B8-E369-4122-A8F6-098C0AB2D32E}" uniqueName="45" name="Response speed .I did not experience long wait times when using the chatbot." queryTableFieldId="45" dataDxfId="15"/>
    <tableColumn id="46" xr3:uid="{0BCA3B0B-8A27-4D16-B705-1D3867C7091A}" uniqueName="46" name="Response speed .I was able to get help immediately through the chatbot." queryTableFieldId="46" dataDxfId="14"/>
    <tableColumn id="47" xr3:uid="{9608AF63-9A3E-4B00-BBC9-B76115B87FD2}" uniqueName="47" name="Response accuracy.The chatbot responses were accurate and relevant to my questions. " queryTableFieldId="47" dataDxfId="13"/>
    <tableColumn id="48" xr3:uid="{AB81F44A-C765-4879-981F-D403FD2E61FC}" uniqueName="48" name="Response accuracy.The chatbot stayed on topic during the conversation." queryTableFieldId="48" dataDxfId="12"/>
    <tableColumn id="49" xr3:uid="{EE2EC40E-9C21-43D8-89FB-B05992FC0570}" uniqueName="49" name="Response accuracy.The chatbot's responses were relevant to my questions." queryTableFieldId="49" dataDxfId="11"/>
    <tableColumn id="51" xr3:uid="{18853A5A-27E5-4A3A-A562-60424603264C}" uniqueName="51" name="Response accuracy.The chatbot was as accurate as a human customer service representative." queryTableFieldId="51" dataDxfId="10"/>
    <tableColumn id="64" xr3:uid="{6640AC6A-C2EC-4C24-8C81-515E02A5A308}" uniqueName="64" name="Acurracy_Incorrect_R" queryTableFieldId="64"/>
    <tableColumn id="52" xr3:uid="{287A7F83-3E3F-4A69-899B-4CC95E29622A}" uniqueName="52" name="Empathy.The chatbot recognised my emotions and concerns." queryTableFieldId="52" dataDxfId="9"/>
    <tableColumn id="53" xr3:uid="{EE1A3478-9C23-490B-9BE8-42A48605B0A2}" uniqueName="53" name="Empathy.The chatbot responded in a caring and considerate way." queryTableFieldId="53" dataDxfId="8"/>
    <tableColumn id="54" xr3:uid="{0978F242-28DA-4033-A1CA-2523C9C41FD1}" uniqueName="54" name="Empathy.The chatbot understood my situation well. " queryTableFieldId="54" dataDxfId="7"/>
    <tableColumn id="63" xr3:uid="{0BB2231A-1D21-4F99-A4B1-DAB29044927E}" uniqueName="63" name="Empathy_Ignore_R" queryTableFieldId="63"/>
    <tableColumn id="62" xr3:uid="{7D45A8FD-DD99-48DF-9DD6-C383EA4AB244}" uniqueName="62" name="Empathy_Cold_R" queryTableFieldId="62"/>
    <tableColumn id="57" xr3:uid="{A7240EF6-796C-4C7F-90A2-41665CC5BF0B}" uniqueName="57" name="Personalisation.The   chatbot asked me personalised questions to understand my needs better." queryTableFieldId="57" dataDxfId="6"/>
    <tableColumn id="58" xr3:uid="{B2C46C63-925F-4FE2-9B82-F98B948AC185}" uniqueName="58" name="Personalisation.The   chatbot adapted its tone to adjust its communication style." queryTableFieldId="58" dataDxfId="5"/>
    <tableColumn id="59" xr3:uid="{2CB7794E-2DFC-448E-A890-6475BC1F14AC}" uniqueName="59" name="Personalisation.The   chatbot remembered my previous responses or preferences during the   conversation." queryTableFieldId="59" dataDxfId="4"/>
    <tableColumn id="60" xr3:uid="{AFDE5436-5C14-4453-9394-D51816326799}" uniqueName="60" name="Personalisation.The chatbot made my interaction with the bank feel more personal." queryTableFieldId="60" dataDxfId="3"/>
    <tableColumn id="61" xr3:uid="{C5745923-D51B-4151-8788-09D19E773CA5}" uniqueName="61" name="Personalisation.The chatbot allowed me to communicate in my preferred language. " queryTableFieldId="61" dataDxfId="2"/>
    <tableColumn id="65" xr3:uid="{B2003653-B03C-449E-A115-EF23BF389A59}" uniqueName="65" name="Usage_Avg" queryTableFieldId="65"/>
    <tableColumn id="66" xr3:uid="{F1013A27-BA67-4A16-9528-9D42212B24AC}" uniqueName="66" name="Satisfaction_Avg" queryTableFieldId="66"/>
    <tableColumn id="67" xr3:uid="{A318E32F-8EC4-4D9F-9E35-E30F928AF876}" uniqueName="67" name="Trust_Avg" queryTableFieldId="67"/>
    <tableColumn id="68" xr3:uid="{8BC872F0-451F-41A4-ACCA-BC88A26CD0A5}" uniqueName="68" name="Ease_of_Use_Avg" queryTableFieldId="68"/>
    <tableColumn id="69" xr3:uid="{2D9E6FB3-61AB-4611-90E6-F5076D1443B6}" uniqueName="69" name="Helpfulness_Avg" queryTableFieldId="69"/>
    <tableColumn id="70" xr3:uid="{4C67BCE6-5785-45EE-8CCF-FDA2EB4130EE}" uniqueName="70" name="Convenience_Avg" queryTableFieldId="70"/>
    <tableColumn id="71" xr3:uid="{533C9281-5063-407C-9FD0-31D9297FE453}" uniqueName="71" name="Speed_Avg" queryTableFieldId="71"/>
    <tableColumn id="72" xr3:uid="{D4EBCD33-A343-4C2D-A021-FF5AD6C413E0}" uniqueName="72" name="Accuracy_Avg" queryTableFieldId="72"/>
    <tableColumn id="73" xr3:uid="{C2663FA7-D56F-441B-8CDD-9BFEEC06067A}" uniqueName="73" name="Empathy_Avg" queryTableFieldId="73"/>
    <tableColumn id="74" xr3:uid="{C37DC808-AAC2-4CB6-B090-071635715C57}" uniqueName="74" name="Personalisation_Avg" queryTableFieldId="7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AF80A4-C848-4C7C-90B7-C7899D4868E3}" name="Table4" displayName="Table4" ref="A1:B31" totalsRowShown="0">
  <autoFilter ref="A1:B31" xr:uid="{F2AF80A4-C848-4C7C-90B7-C7899D4868E3}"/>
  <tableColumns count="2">
    <tableColumn id="1" xr3:uid="{CEB10ABD-B990-4E2B-9E35-672F5B98B374}" name="Id"/>
    <tableColumn id="2" xr3:uid="{60CE9752-5B2F-4169-B45C-C15500F1B9A6}" name="Engagement_Avg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33C01-8F80-4C9D-B7A9-CF09FBB2C9BF}" name="Table42" displayName="Table42" ref="A35:B65" totalsRowShown="0">
  <autoFilter ref="A35:B65" xr:uid="{73D33C01-8F80-4C9D-B7A9-CF09FBB2C9BF}"/>
  <tableColumns count="2">
    <tableColumn id="1" xr3:uid="{1642EEF6-3BCA-4637-A5E7-32F749284851}" name="Id"/>
    <tableColumn id="2" xr3:uid="{6059DF98-9D6E-41B0-980F-CEACE803EBBC}" name="Engagement_Avg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3713-EE64-4827-AB31-34FE15DBF429}">
  <dimension ref="A1:BI31"/>
  <sheetViews>
    <sheetView tabSelected="1" zoomScale="75" workbookViewId="0">
      <selection activeCell="Q5" sqref="Q5"/>
    </sheetView>
  </sheetViews>
  <sheetFormatPr defaultRowHeight="14.4" x14ac:dyDescent="0.3"/>
  <cols>
    <col min="1" max="1" width="5" bestFit="1" customWidth="1"/>
    <col min="2" max="2" width="15.77734375" bestFit="1" customWidth="1"/>
    <col min="3" max="3" width="17.44140625" bestFit="1" customWidth="1"/>
    <col min="4" max="4" width="10.5546875" bestFit="1" customWidth="1"/>
    <col min="5" max="5" width="8.33203125" bestFit="1" customWidth="1"/>
    <col min="6" max="6" width="19.33203125" bestFit="1" customWidth="1"/>
    <col min="7" max="7" width="21.33203125" bestFit="1" customWidth="1"/>
    <col min="8" max="8" width="58.44140625" bestFit="1" customWidth="1"/>
    <col min="9" max="9" width="17.44140625" bestFit="1" customWidth="1"/>
    <col min="10" max="10" width="15.6640625" bestFit="1" customWidth="1"/>
    <col min="11" max="11" width="14.77734375" bestFit="1" customWidth="1"/>
    <col min="12" max="12" width="69.109375" bestFit="1" customWidth="1"/>
    <col min="13" max="13" width="63.6640625" bestFit="1" customWidth="1"/>
    <col min="14" max="14" width="30.33203125" bestFit="1" customWidth="1"/>
    <col min="15" max="15" width="30.109375" customWidth="1"/>
    <col min="16" max="16" width="29" customWidth="1"/>
    <col min="17" max="17" width="36.5546875" customWidth="1"/>
    <col min="18" max="18" width="48" customWidth="1"/>
    <col min="19" max="19" width="52.88671875" customWidth="1"/>
    <col min="20" max="20" width="45" customWidth="1"/>
    <col min="21" max="21" width="37.5546875" bestFit="1" customWidth="1"/>
    <col min="22" max="22" width="42" bestFit="1" customWidth="1"/>
    <col min="23" max="23" width="65.33203125" bestFit="1" customWidth="1"/>
    <col min="24" max="24" width="39.21875" customWidth="1"/>
    <col min="25" max="25" width="30.109375" customWidth="1"/>
    <col min="26" max="26" width="22.33203125" customWidth="1"/>
    <col min="27" max="27" width="29.5546875" customWidth="1"/>
    <col min="28" max="28" width="46.21875" customWidth="1"/>
    <col min="29" max="29" width="50.33203125" bestFit="1" customWidth="1"/>
    <col min="30" max="30" width="61.6640625" bestFit="1" customWidth="1"/>
    <col min="31" max="31" width="74.88671875" bestFit="1" customWidth="1"/>
    <col min="32" max="32" width="52.88671875" bestFit="1" customWidth="1"/>
    <col min="33" max="33" width="54.6640625" bestFit="1" customWidth="1"/>
    <col min="34" max="34" width="32.109375" customWidth="1"/>
    <col min="35" max="35" width="28.88671875" bestFit="1" customWidth="1"/>
    <col min="36" max="36" width="35.109375" customWidth="1"/>
    <col min="37" max="37" width="26.77734375" customWidth="1"/>
    <col min="38" max="38" width="21.109375" bestFit="1" customWidth="1"/>
    <col min="39" max="39" width="80.88671875" bestFit="1" customWidth="1"/>
    <col min="40" max="40" width="60.44140625" bestFit="1" customWidth="1"/>
    <col min="41" max="41" width="67.6640625" bestFit="1" customWidth="1"/>
    <col min="42" max="42" width="74.5546875" bestFit="1" customWidth="1"/>
    <col min="43" max="43" width="76.6640625" bestFit="1" customWidth="1"/>
    <col min="44" max="44" width="68.88671875" bestFit="1" customWidth="1"/>
    <col min="45" max="45" width="69.77734375" bestFit="1" customWidth="1"/>
    <col min="46" max="46" width="65.77734375" bestFit="1" customWidth="1"/>
    <col min="47" max="47" width="78.5546875" bestFit="1" customWidth="1"/>
    <col min="48" max="48" width="65.6640625" bestFit="1" customWidth="1"/>
    <col min="49" max="49" width="67.6640625" bestFit="1" customWidth="1"/>
    <col min="50" max="50" width="68.109375" bestFit="1" customWidth="1"/>
    <col min="51" max="51" width="80.88671875" bestFit="1" customWidth="1"/>
    <col min="52" max="52" width="55.88671875" bestFit="1" customWidth="1"/>
    <col min="53" max="53" width="59.5546875" bestFit="1" customWidth="1"/>
    <col min="54" max="54" width="48.44140625" bestFit="1" customWidth="1"/>
    <col min="55" max="55" width="43.5546875" bestFit="1" customWidth="1"/>
    <col min="56" max="56" width="62.5546875" bestFit="1" customWidth="1"/>
    <col min="57" max="57" width="80.88671875" bestFit="1" customWidth="1"/>
    <col min="58" max="58" width="72.109375" bestFit="1" customWidth="1"/>
    <col min="59" max="59" width="80.88671875" bestFit="1" customWidth="1"/>
    <col min="60" max="60" width="75" bestFit="1" customWidth="1"/>
    <col min="61" max="61" width="75.33203125" bestFit="1" customWidth="1"/>
  </cols>
  <sheetData>
    <row r="1" spans="1:61" ht="30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t="s">
        <v>12</v>
      </c>
      <c r="N1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t="s">
        <v>19</v>
      </c>
      <c r="U1" t="s">
        <v>20</v>
      </c>
      <c r="V1" t="s">
        <v>21</v>
      </c>
      <c r="W1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 s="1">
        <v>45907.67596064815</v>
      </c>
      <c r="C2" s="1">
        <v>45907.688657407409</v>
      </c>
      <c r="D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65</v>
      </c>
      <c r="K2" t="s">
        <v>66</v>
      </c>
      <c r="L2" t="s">
        <v>67</v>
      </c>
      <c r="O2" t="s">
        <v>68</v>
      </c>
      <c r="P2" t="s">
        <v>69</v>
      </c>
      <c r="Q2" t="s">
        <v>70</v>
      </c>
      <c r="R2" t="s">
        <v>70</v>
      </c>
      <c r="S2" t="s">
        <v>70</v>
      </c>
      <c r="T2" t="s">
        <v>71</v>
      </c>
      <c r="U2" t="s">
        <v>70</v>
      </c>
      <c r="V2" t="s">
        <v>70</v>
      </c>
      <c r="W2" t="s">
        <v>71</v>
      </c>
      <c r="X2" t="s">
        <v>71</v>
      </c>
      <c r="Y2" t="s">
        <v>71</v>
      </c>
      <c r="Z2" t="s">
        <v>68</v>
      </c>
      <c r="AA2" t="s">
        <v>72</v>
      </c>
      <c r="AB2" t="s">
        <v>69</v>
      </c>
      <c r="AC2" t="s">
        <v>72</v>
      </c>
      <c r="AD2" t="s">
        <v>72</v>
      </c>
      <c r="AE2" t="s">
        <v>71</v>
      </c>
      <c r="AF2" t="s">
        <v>68</v>
      </c>
      <c r="AG2" t="s">
        <v>68</v>
      </c>
      <c r="AH2" t="s">
        <v>68</v>
      </c>
      <c r="AI2" t="s">
        <v>72</v>
      </c>
      <c r="AJ2" t="s">
        <v>68</v>
      </c>
      <c r="AK2" t="s">
        <v>68</v>
      </c>
      <c r="AL2" t="s">
        <v>71</v>
      </c>
      <c r="AM2" t="s">
        <v>73</v>
      </c>
      <c r="AN2" t="s">
        <v>68</v>
      </c>
      <c r="AO2" t="s">
        <v>68</v>
      </c>
      <c r="AP2" t="s">
        <v>73</v>
      </c>
      <c r="AQ2" t="s">
        <v>72</v>
      </c>
      <c r="AR2" t="s">
        <v>68</v>
      </c>
      <c r="AS2" t="s">
        <v>72</v>
      </c>
      <c r="AT2" t="s">
        <v>68</v>
      </c>
      <c r="AU2" t="s">
        <v>68</v>
      </c>
      <c r="AV2" t="s">
        <v>72</v>
      </c>
      <c r="AW2" t="s">
        <v>68</v>
      </c>
      <c r="AX2" t="s">
        <v>74</v>
      </c>
      <c r="AY2" t="s">
        <v>68</v>
      </c>
      <c r="AZ2" t="s">
        <v>69</v>
      </c>
      <c r="BA2" t="s">
        <v>69</v>
      </c>
      <c r="BB2" t="s">
        <v>71</v>
      </c>
      <c r="BC2" t="s">
        <v>72</v>
      </c>
      <c r="BD2" t="s">
        <v>72</v>
      </c>
      <c r="BE2" t="s">
        <v>71</v>
      </c>
      <c r="BF2" t="s">
        <v>69</v>
      </c>
      <c r="BG2" t="s">
        <v>69</v>
      </c>
      <c r="BH2" t="s">
        <v>69</v>
      </c>
      <c r="BI2" t="s">
        <v>71</v>
      </c>
    </row>
    <row r="3" spans="1:61" x14ac:dyDescent="0.3">
      <c r="A3">
        <v>2</v>
      </c>
      <c r="B3" s="1">
        <v>45907.771157407406</v>
      </c>
      <c r="C3" s="1">
        <v>45907.845034722224</v>
      </c>
      <c r="D3" t="s">
        <v>61</v>
      </c>
      <c r="F3" t="s">
        <v>75</v>
      </c>
      <c r="G3" t="s">
        <v>63</v>
      </c>
      <c r="H3" t="s">
        <v>76</v>
      </c>
      <c r="I3" t="s">
        <v>77</v>
      </c>
      <c r="J3" t="s">
        <v>78</v>
      </c>
      <c r="K3" t="s">
        <v>79</v>
      </c>
      <c r="L3" t="s">
        <v>67</v>
      </c>
      <c r="O3" t="s">
        <v>69</v>
      </c>
      <c r="P3" t="s">
        <v>69</v>
      </c>
      <c r="Q3" t="s">
        <v>69</v>
      </c>
      <c r="R3" t="s">
        <v>70</v>
      </c>
      <c r="S3" t="s">
        <v>69</v>
      </c>
      <c r="T3" t="s">
        <v>69</v>
      </c>
      <c r="U3" t="s">
        <v>69</v>
      </c>
      <c r="V3" t="s">
        <v>68</v>
      </c>
      <c r="W3" t="s">
        <v>69</v>
      </c>
      <c r="X3" t="s">
        <v>68</v>
      </c>
      <c r="Y3" t="s">
        <v>69</v>
      </c>
      <c r="Z3" t="s">
        <v>69</v>
      </c>
      <c r="AA3" t="s">
        <v>71</v>
      </c>
      <c r="AB3" t="s">
        <v>69</v>
      </c>
      <c r="AC3" t="s">
        <v>71</v>
      </c>
      <c r="AD3" t="s">
        <v>68</v>
      </c>
      <c r="AE3" t="s">
        <v>69</v>
      </c>
      <c r="AF3" t="s">
        <v>69</v>
      </c>
      <c r="AG3" t="s">
        <v>71</v>
      </c>
      <c r="AH3" t="s">
        <v>71</v>
      </c>
      <c r="AI3" t="s">
        <v>74</v>
      </c>
      <c r="AJ3" t="s">
        <v>69</v>
      </c>
      <c r="AK3" t="s">
        <v>69</v>
      </c>
      <c r="AL3" t="s">
        <v>69</v>
      </c>
      <c r="AM3" t="s">
        <v>73</v>
      </c>
      <c r="AN3" t="s">
        <v>72</v>
      </c>
      <c r="AO3" t="s">
        <v>72</v>
      </c>
      <c r="AP3" t="s">
        <v>74</v>
      </c>
      <c r="AQ3" t="s">
        <v>72</v>
      </c>
      <c r="AR3" t="s">
        <v>72</v>
      </c>
      <c r="AS3" t="s">
        <v>72</v>
      </c>
      <c r="AT3" t="s">
        <v>69</v>
      </c>
      <c r="AU3" t="s">
        <v>74</v>
      </c>
      <c r="AV3" t="s">
        <v>68</v>
      </c>
      <c r="AW3" t="s">
        <v>74</v>
      </c>
      <c r="AX3" t="s">
        <v>71</v>
      </c>
      <c r="AY3" t="s">
        <v>69</v>
      </c>
      <c r="AZ3" t="s">
        <v>69</v>
      </c>
      <c r="BA3" t="s">
        <v>69</v>
      </c>
      <c r="BB3" t="s">
        <v>69</v>
      </c>
      <c r="BC3" t="s">
        <v>72</v>
      </c>
      <c r="BD3" t="s">
        <v>68</v>
      </c>
      <c r="BE3" t="s">
        <v>69</v>
      </c>
      <c r="BF3" t="s">
        <v>69</v>
      </c>
      <c r="BG3" t="s">
        <v>74</v>
      </c>
      <c r="BH3" t="s">
        <v>69</v>
      </c>
      <c r="BI3" t="s">
        <v>69</v>
      </c>
    </row>
    <row r="4" spans="1:61" x14ac:dyDescent="0.3">
      <c r="A4">
        <v>3</v>
      </c>
      <c r="B4" s="1">
        <v>45908.755798611113</v>
      </c>
      <c r="C4" s="1">
        <v>45908.75949074074</v>
      </c>
      <c r="D4" t="s">
        <v>61</v>
      </c>
      <c r="F4" t="s">
        <v>75</v>
      </c>
      <c r="G4" t="s">
        <v>63</v>
      </c>
      <c r="H4" t="s">
        <v>80</v>
      </c>
      <c r="I4" t="s">
        <v>81</v>
      </c>
      <c r="J4" t="s">
        <v>82</v>
      </c>
      <c r="K4" t="s">
        <v>66</v>
      </c>
      <c r="L4" t="s">
        <v>83</v>
      </c>
      <c r="O4" t="s">
        <v>74</v>
      </c>
      <c r="P4" t="s">
        <v>74</v>
      </c>
      <c r="Q4" t="s">
        <v>70</v>
      </c>
      <c r="R4" t="s">
        <v>70</v>
      </c>
      <c r="S4" t="s">
        <v>68</v>
      </c>
      <c r="T4" t="s">
        <v>68</v>
      </c>
      <c r="U4" t="s">
        <v>68</v>
      </c>
      <c r="V4" t="s">
        <v>68</v>
      </c>
      <c r="W4" t="s">
        <v>71</v>
      </c>
      <c r="X4" t="s">
        <v>68</v>
      </c>
      <c r="Y4" t="s">
        <v>68</v>
      </c>
      <c r="Z4" t="s">
        <v>68</v>
      </c>
      <c r="AA4" t="s">
        <v>68</v>
      </c>
      <c r="AB4" t="s">
        <v>71</v>
      </c>
      <c r="AC4" t="s">
        <v>72</v>
      </c>
      <c r="AD4" t="s">
        <v>72</v>
      </c>
      <c r="AE4" t="s">
        <v>71</v>
      </c>
      <c r="AF4" t="s">
        <v>71</v>
      </c>
      <c r="AG4" t="s">
        <v>72</v>
      </c>
      <c r="AH4" t="s">
        <v>68</v>
      </c>
      <c r="AI4" t="s">
        <v>71</v>
      </c>
      <c r="AJ4" t="s">
        <v>74</v>
      </c>
      <c r="AK4" t="s">
        <v>74</v>
      </c>
      <c r="AL4" t="s">
        <v>71</v>
      </c>
      <c r="AM4" t="s">
        <v>74</v>
      </c>
      <c r="AN4" t="s">
        <v>68</v>
      </c>
      <c r="AO4" t="s">
        <v>68</v>
      </c>
      <c r="AP4" t="s">
        <v>74</v>
      </c>
      <c r="AQ4" t="s">
        <v>68</v>
      </c>
      <c r="AR4" t="s">
        <v>68</v>
      </c>
      <c r="AS4" t="s">
        <v>72</v>
      </c>
      <c r="AT4" t="s">
        <v>72</v>
      </c>
      <c r="AU4" t="s">
        <v>71</v>
      </c>
      <c r="AV4" t="s">
        <v>72</v>
      </c>
      <c r="AW4" t="s">
        <v>68</v>
      </c>
      <c r="AX4" t="s">
        <v>74</v>
      </c>
      <c r="AY4" t="s">
        <v>71</v>
      </c>
      <c r="AZ4" t="s">
        <v>69</v>
      </c>
      <c r="BA4" t="s">
        <v>69</v>
      </c>
      <c r="BB4" t="s">
        <v>71</v>
      </c>
      <c r="BC4" t="s">
        <v>72</v>
      </c>
      <c r="BD4" t="s">
        <v>72</v>
      </c>
      <c r="BE4" t="s">
        <v>74</v>
      </c>
      <c r="BF4" t="s">
        <v>69</v>
      </c>
      <c r="BG4" t="s">
        <v>69</v>
      </c>
      <c r="BH4" t="s">
        <v>69</v>
      </c>
      <c r="BI4" t="s">
        <v>68</v>
      </c>
    </row>
    <row r="5" spans="1:61" x14ac:dyDescent="0.3">
      <c r="A5">
        <v>4</v>
      </c>
      <c r="B5" s="1">
        <v>45909.36824074074</v>
      </c>
      <c r="C5" s="1">
        <v>45909.374016203707</v>
      </c>
      <c r="D5" t="s">
        <v>61</v>
      </c>
      <c r="F5" t="s">
        <v>75</v>
      </c>
      <c r="G5" t="s">
        <v>63</v>
      </c>
      <c r="H5" t="s">
        <v>76</v>
      </c>
      <c r="I5" t="s">
        <v>77</v>
      </c>
      <c r="J5" t="s">
        <v>78</v>
      </c>
      <c r="K5" t="s">
        <v>66</v>
      </c>
      <c r="L5" t="s">
        <v>83</v>
      </c>
      <c r="O5" t="s">
        <v>74</v>
      </c>
      <c r="P5" t="s">
        <v>74</v>
      </c>
      <c r="Q5" t="s">
        <v>71</v>
      </c>
      <c r="R5" t="s">
        <v>70</v>
      </c>
      <c r="S5" t="s">
        <v>68</v>
      </c>
      <c r="T5" t="s">
        <v>71</v>
      </c>
      <c r="U5" t="s">
        <v>71</v>
      </c>
      <c r="V5" t="s">
        <v>74</v>
      </c>
      <c r="W5" t="s">
        <v>71</v>
      </c>
      <c r="X5" t="s">
        <v>71</v>
      </c>
      <c r="Y5" t="s">
        <v>69</v>
      </c>
      <c r="Z5" t="s">
        <v>71</v>
      </c>
      <c r="AA5" t="s">
        <v>71</v>
      </c>
      <c r="AB5" t="s">
        <v>69</v>
      </c>
      <c r="AC5" t="s">
        <v>71</v>
      </c>
      <c r="AD5" t="s">
        <v>71</v>
      </c>
      <c r="AE5" t="s">
        <v>74</v>
      </c>
      <c r="AF5" t="s">
        <v>69</v>
      </c>
      <c r="AG5" t="s">
        <v>68</v>
      </c>
      <c r="AH5" t="s">
        <v>71</v>
      </c>
      <c r="AI5" t="s">
        <v>71</v>
      </c>
      <c r="AJ5" t="s">
        <v>71</v>
      </c>
      <c r="AK5" t="s">
        <v>74</v>
      </c>
      <c r="AL5" t="s">
        <v>74</v>
      </c>
      <c r="AM5" t="s">
        <v>73</v>
      </c>
      <c r="AN5" t="s">
        <v>71</v>
      </c>
      <c r="AO5" t="s">
        <v>74</v>
      </c>
      <c r="AP5" t="s">
        <v>71</v>
      </c>
      <c r="AQ5" t="s">
        <v>71</v>
      </c>
      <c r="AR5" t="s">
        <v>71</v>
      </c>
      <c r="AS5" t="s">
        <v>74</v>
      </c>
      <c r="AT5" t="s">
        <v>71</v>
      </c>
      <c r="AU5" t="s">
        <v>71</v>
      </c>
      <c r="AV5" t="s">
        <v>71</v>
      </c>
      <c r="AW5" t="s">
        <v>71</v>
      </c>
      <c r="AX5" t="s">
        <v>71</v>
      </c>
      <c r="AY5" t="s">
        <v>71</v>
      </c>
      <c r="AZ5" t="s">
        <v>71</v>
      </c>
      <c r="BA5" t="s">
        <v>71</v>
      </c>
      <c r="BB5" t="s">
        <v>71</v>
      </c>
      <c r="BC5" t="s">
        <v>74</v>
      </c>
      <c r="BD5" t="s">
        <v>72</v>
      </c>
      <c r="BE5" t="s">
        <v>71</v>
      </c>
      <c r="BF5" t="s">
        <v>74</v>
      </c>
      <c r="BG5" t="s">
        <v>71</v>
      </c>
      <c r="BH5" t="s">
        <v>74</v>
      </c>
      <c r="BI5" t="s">
        <v>71</v>
      </c>
    </row>
    <row r="6" spans="1:61" x14ac:dyDescent="0.3">
      <c r="A6">
        <v>5</v>
      </c>
      <c r="B6" s="1">
        <v>45909.672384259262</v>
      </c>
      <c r="C6" s="1">
        <v>45909.675405092596</v>
      </c>
      <c r="D6" t="s">
        <v>61</v>
      </c>
      <c r="F6" t="s">
        <v>84</v>
      </c>
      <c r="G6" t="s">
        <v>63</v>
      </c>
      <c r="H6" t="s">
        <v>64</v>
      </c>
      <c r="I6" t="s">
        <v>85</v>
      </c>
      <c r="J6" t="s">
        <v>65</v>
      </c>
      <c r="K6" t="s">
        <v>66</v>
      </c>
      <c r="L6" t="s">
        <v>67</v>
      </c>
      <c r="O6" t="s">
        <v>71</v>
      </c>
      <c r="P6" t="s">
        <v>74</v>
      </c>
      <c r="Q6" t="s">
        <v>69</v>
      </c>
      <c r="R6" t="s">
        <v>74</v>
      </c>
      <c r="S6" t="s">
        <v>71</v>
      </c>
      <c r="T6" t="s">
        <v>69</v>
      </c>
      <c r="U6" t="s">
        <v>69</v>
      </c>
      <c r="V6" t="s">
        <v>74</v>
      </c>
      <c r="W6" t="s">
        <v>69</v>
      </c>
      <c r="X6" t="s">
        <v>74</v>
      </c>
      <c r="Y6" t="s">
        <v>68</v>
      </c>
      <c r="Z6" t="s">
        <v>69</v>
      </c>
      <c r="AA6" t="s">
        <v>71</v>
      </c>
      <c r="AB6" t="s">
        <v>69</v>
      </c>
      <c r="AC6" t="s">
        <v>69</v>
      </c>
      <c r="AD6" t="s">
        <v>74</v>
      </c>
      <c r="AE6" t="s">
        <v>69</v>
      </c>
      <c r="AF6" t="s">
        <v>69</v>
      </c>
      <c r="AG6" t="s">
        <v>74</v>
      </c>
      <c r="AH6" t="s">
        <v>69</v>
      </c>
      <c r="AI6" t="s">
        <v>69</v>
      </c>
      <c r="AJ6" t="s">
        <v>74</v>
      </c>
      <c r="AK6" t="s">
        <v>69</v>
      </c>
      <c r="AL6" t="s">
        <v>69</v>
      </c>
      <c r="AM6" t="s">
        <v>73</v>
      </c>
      <c r="AN6" t="s">
        <v>71</v>
      </c>
      <c r="AO6" t="s">
        <v>68</v>
      </c>
      <c r="AP6" t="s">
        <v>73</v>
      </c>
      <c r="AQ6" t="s">
        <v>74</v>
      </c>
      <c r="AR6" t="s">
        <v>69</v>
      </c>
      <c r="AS6" t="s">
        <v>74</v>
      </c>
      <c r="AT6" t="s">
        <v>69</v>
      </c>
      <c r="AU6" t="s">
        <v>69</v>
      </c>
      <c r="AV6" t="s">
        <v>71</v>
      </c>
      <c r="AW6" t="s">
        <v>74</v>
      </c>
      <c r="AX6" t="s">
        <v>68</v>
      </c>
      <c r="AY6" t="s">
        <v>69</v>
      </c>
      <c r="AZ6" t="s">
        <v>71</v>
      </c>
      <c r="BA6" t="s">
        <v>71</v>
      </c>
      <c r="BB6" t="s">
        <v>74</v>
      </c>
      <c r="BC6" t="s">
        <v>72</v>
      </c>
      <c r="BD6" t="s">
        <v>71</v>
      </c>
      <c r="BE6" t="s">
        <v>74</v>
      </c>
      <c r="BF6" t="s">
        <v>71</v>
      </c>
      <c r="BG6" t="s">
        <v>74</v>
      </c>
      <c r="BH6" t="s">
        <v>69</v>
      </c>
      <c r="BI6" t="s">
        <v>69</v>
      </c>
    </row>
    <row r="7" spans="1:61" x14ac:dyDescent="0.3">
      <c r="A7">
        <v>6</v>
      </c>
      <c r="B7" s="1">
        <v>45910.424988425926</v>
      </c>
      <c r="C7" s="1">
        <v>45910.443032407406</v>
      </c>
      <c r="D7" t="s">
        <v>61</v>
      </c>
      <c r="F7" t="s">
        <v>86</v>
      </c>
      <c r="G7" t="s">
        <v>87</v>
      </c>
      <c r="H7" t="s">
        <v>88</v>
      </c>
      <c r="I7" t="s">
        <v>77</v>
      </c>
      <c r="J7" t="s">
        <v>78</v>
      </c>
      <c r="K7" t="s">
        <v>66</v>
      </c>
      <c r="L7" t="s">
        <v>89</v>
      </c>
      <c r="O7" t="s">
        <v>71</v>
      </c>
      <c r="P7" t="s">
        <v>74</v>
      </c>
      <c r="Q7" t="s">
        <v>68</v>
      </c>
      <c r="R7" t="s">
        <v>74</v>
      </c>
      <c r="S7" t="s">
        <v>74</v>
      </c>
      <c r="T7" t="s">
        <v>71</v>
      </c>
      <c r="U7" t="s">
        <v>71</v>
      </c>
      <c r="V7" t="s">
        <v>68</v>
      </c>
      <c r="W7" t="s">
        <v>68</v>
      </c>
      <c r="X7" t="s">
        <v>68</v>
      </c>
      <c r="Y7" t="s">
        <v>68</v>
      </c>
      <c r="Z7" t="s">
        <v>71</v>
      </c>
      <c r="AA7" t="s">
        <v>68</v>
      </c>
      <c r="AB7" t="s">
        <v>74</v>
      </c>
      <c r="AC7" t="s">
        <v>74</v>
      </c>
      <c r="AD7" t="s">
        <v>68</v>
      </c>
      <c r="AE7" t="s">
        <v>71</v>
      </c>
      <c r="AF7" t="s">
        <v>74</v>
      </c>
      <c r="AG7" t="s">
        <v>71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74</v>
      </c>
      <c r="AN7" t="s">
        <v>68</v>
      </c>
      <c r="AO7" t="s">
        <v>68</v>
      </c>
      <c r="AP7" t="s">
        <v>71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71</v>
      </c>
      <c r="AY7" t="s">
        <v>74</v>
      </c>
      <c r="AZ7" t="s">
        <v>74</v>
      </c>
      <c r="BA7" t="s">
        <v>74</v>
      </c>
      <c r="BB7" t="s">
        <v>74</v>
      </c>
      <c r="BC7" t="s">
        <v>68</v>
      </c>
      <c r="BD7" t="s">
        <v>68</v>
      </c>
      <c r="BE7" t="s">
        <v>68</v>
      </c>
      <c r="BF7" t="s">
        <v>71</v>
      </c>
      <c r="BG7" t="s">
        <v>68</v>
      </c>
      <c r="BH7" t="s">
        <v>71</v>
      </c>
      <c r="BI7" t="s">
        <v>68</v>
      </c>
    </row>
    <row r="8" spans="1:61" x14ac:dyDescent="0.3">
      <c r="A8">
        <v>7</v>
      </c>
      <c r="B8" s="1">
        <v>45910.491087962961</v>
      </c>
      <c r="C8" s="1">
        <v>45910.494699074072</v>
      </c>
      <c r="D8" t="s">
        <v>61</v>
      </c>
      <c r="F8" t="s">
        <v>75</v>
      </c>
      <c r="G8" t="s">
        <v>87</v>
      </c>
      <c r="H8" t="s">
        <v>76</v>
      </c>
      <c r="I8" t="s">
        <v>81</v>
      </c>
      <c r="J8" t="s">
        <v>78</v>
      </c>
      <c r="K8" t="s">
        <v>66</v>
      </c>
      <c r="L8" t="s">
        <v>89</v>
      </c>
      <c r="M8" t="s">
        <v>90</v>
      </c>
      <c r="N8" t="s">
        <v>91</v>
      </c>
      <c r="O8" t="s">
        <v>74</v>
      </c>
      <c r="P8" t="s">
        <v>68</v>
      </c>
      <c r="Q8" t="s">
        <v>68</v>
      </c>
      <c r="R8" t="s">
        <v>68</v>
      </c>
      <c r="S8" t="s">
        <v>70</v>
      </c>
      <c r="T8" t="s">
        <v>68</v>
      </c>
      <c r="U8" t="s">
        <v>68</v>
      </c>
      <c r="V8" t="s">
        <v>68</v>
      </c>
      <c r="W8" t="s">
        <v>70</v>
      </c>
      <c r="X8" t="s">
        <v>68</v>
      </c>
      <c r="Y8" t="s">
        <v>68</v>
      </c>
      <c r="Z8" t="s">
        <v>71</v>
      </c>
      <c r="AA8" t="s">
        <v>68</v>
      </c>
      <c r="AB8" t="s">
        <v>69</v>
      </c>
      <c r="AC8" t="s">
        <v>68</v>
      </c>
      <c r="AD8" t="s">
        <v>72</v>
      </c>
      <c r="AE8" t="s">
        <v>72</v>
      </c>
      <c r="AF8" t="s">
        <v>68</v>
      </c>
      <c r="AG8" t="s">
        <v>68</v>
      </c>
      <c r="AH8" t="s">
        <v>68</v>
      </c>
      <c r="AI8" t="s">
        <v>74</v>
      </c>
      <c r="AJ8" t="s">
        <v>72</v>
      </c>
      <c r="AK8" t="s">
        <v>74</v>
      </c>
      <c r="AL8" t="s">
        <v>71</v>
      </c>
      <c r="AM8" t="s">
        <v>71</v>
      </c>
      <c r="AN8" t="s">
        <v>68</v>
      </c>
      <c r="AO8" t="s">
        <v>68</v>
      </c>
      <c r="AP8" t="s">
        <v>68</v>
      </c>
      <c r="AQ8" t="s">
        <v>72</v>
      </c>
      <c r="AR8" t="s">
        <v>72</v>
      </c>
      <c r="AS8" t="s">
        <v>72</v>
      </c>
      <c r="AT8" t="s">
        <v>72</v>
      </c>
      <c r="AU8" t="s">
        <v>68</v>
      </c>
      <c r="AV8" t="s">
        <v>72</v>
      </c>
      <c r="AW8" t="s">
        <v>72</v>
      </c>
      <c r="AX8" t="s">
        <v>74</v>
      </c>
      <c r="AY8" t="s">
        <v>71</v>
      </c>
      <c r="AZ8" t="s">
        <v>71</v>
      </c>
      <c r="BA8" t="s">
        <v>71</v>
      </c>
      <c r="BB8" t="s">
        <v>68</v>
      </c>
      <c r="BC8" t="s">
        <v>71</v>
      </c>
      <c r="BD8" t="s">
        <v>71</v>
      </c>
      <c r="BE8" t="s">
        <v>71</v>
      </c>
      <c r="BF8" t="s">
        <v>71</v>
      </c>
      <c r="BG8" t="s">
        <v>68</v>
      </c>
      <c r="BH8" t="s">
        <v>74</v>
      </c>
      <c r="BI8" t="s">
        <v>68</v>
      </c>
    </row>
    <row r="9" spans="1:61" x14ac:dyDescent="0.3">
      <c r="A9">
        <v>8</v>
      </c>
      <c r="B9" s="1">
        <v>45910.511712962965</v>
      </c>
      <c r="C9" s="1">
        <v>45910.519803240742</v>
      </c>
      <c r="D9" t="s">
        <v>61</v>
      </c>
      <c r="F9" t="s">
        <v>75</v>
      </c>
      <c r="G9" t="s">
        <v>87</v>
      </c>
      <c r="H9" t="s">
        <v>76</v>
      </c>
      <c r="I9" t="s">
        <v>92</v>
      </c>
      <c r="J9" t="s">
        <v>93</v>
      </c>
      <c r="K9" t="s">
        <v>66</v>
      </c>
      <c r="L9" t="s">
        <v>89</v>
      </c>
      <c r="M9" t="s">
        <v>94</v>
      </c>
      <c r="N9" t="s">
        <v>91</v>
      </c>
      <c r="O9" t="s">
        <v>71</v>
      </c>
      <c r="P9" t="s">
        <v>74</v>
      </c>
      <c r="Q9" t="s">
        <v>68</v>
      </c>
      <c r="R9" t="s">
        <v>68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69</v>
      </c>
      <c r="Z9" t="s">
        <v>74</v>
      </c>
      <c r="AA9" t="s">
        <v>68</v>
      </c>
      <c r="AB9" t="s">
        <v>69</v>
      </c>
      <c r="AC9" t="s">
        <v>68</v>
      </c>
      <c r="AD9" t="s">
        <v>68</v>
      </c>
      <c r="AF9" t="s">
        <v>68</v>
      </c>
      <c r="AG9" t="s">
        <v>71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74</v>
      </c>
      <c r="AN9" t="s">
        <v>68</v>
      </c>
      <c r="AO9" t="s">
        <v>72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t="s">
        <v>68</v>
      </c>
      <c r="AZ9" t="s">
        <v>71</v>
      </c>
      <c r="BA9" t="s">
        <v>68</v>
      </c>
      <c r="BB9" t="s">
        <v>68</v>
      </c>
      <c r="BC9" t="s">
        <v>68</v>
      </c>
      <c r="BD9" t="s">
        <v>68</v>
      </c>
      <c r="BE9" t="s">
        <v>68</v>
      </c>
      <c r="BF9" t="s">
        <v>68</v>
      </c>
      <c r="BG9" t="s">
        <v>68</v>
      </c>
      <c r="BH9" t="s">
        <v>68</v>
      </c>
      <c r="BI9" t="s">
        <v>68</v>
      </c>
    </row>
    <row r="10" spans="1:61" x14ac:dyDescent="0.3">
      <c r="A10">
        <v>9</v>
      </c>
      <c r="B10" s="1">
        <v>45910.815081018518</v>
      </c>
      <c r="C10" s="1">
        <v>45910.817986111113</v>
      </c>
      <c r="D10" t="s">
        <v>61</v>
      </c>
      <c r="F10" t="s">
        <v>95</v>
      </c>
      <c r="G10" t="s">
        <v>87</v>
      </c>
      <c r="H10" t="s">
        <v>88</v>
      </c>
      <c r="I10" t="s">
        <v>77</v>
      </c>
      <c r="J10" t="s">
        <v>93</v>
      </c>
      <c r="K10" t="s">
        <v>65</v>
      </c>
      <c r="L10" t="s">
        <v>65</v>
      </c>
      <c r="M10" t="s">
        <v>96</v>
      </c>
      <c r="O10" t="s">
        <v>69</v>
      </c>
      <c r="P10" t="s">
        <v>69</v>
      </c>
      <c r="Q10" t="s">
        <v>71</v>
      </c>
      <c r="R10" t="s">
        <v>71</v>
      </c>
      <c r="S10" t="s">
        <v>74</v>
      </c>
      <c r="T10" t="s">
        <v>74</v>
      </c>
      <c r="U10" t="s">
        <v>74</v>
      </c>
      <c r="V10" t="s">
        <v>74</v>
      </c>
      <c r="W10" t="s">
        <v>71</v>
      </c>
      <c r="X10" t="s">
        <v>68</v>
      </c>
      <c r="Y10" t="s">
        <v>71</v>
      </c>
      <c r="Z10" t="s">
        <v>69</v>
      </c>
      <c r="AA10" t="s">
        <v>71</v>
      </c>
      <c r="AB10" t="s">
        <v>71</v>
      </c>
      <c r="AC10" t="s">
        <v>74</v>
      </c>
      <c r="AD10" t="s">
        <v>71</v>
      </c>
      <c r="AE10" t="s">
        <v>69</v>
      </c>
      <c r="AF10" t="s">
        <v>72</v>
      </c>
      <c r="AG10" t="s">
        <v>71</v>
      </c>
      <c r="AH10" t="s">
        <v>74</v>
      </c>
      <c r="AI10" t="s">
        <v>74</v>
      </c>
      <c r="AJ10" t="s">
        <v>71</v>
      </c>
      <c r="AK10" t="s">
        <v>69</v>
      </c>
      <c r="AL10" t="s">
        <v>71</v>
      </c>
      <c r="AM10" t="s">
        <v>73</v>
      </c>
      <c r="AN10" t="s">
        <v>74</v>
      </c>
      <c r="AO10" t="s">
        <v>68</v>
      </c>
      <c r="AP10" t="s">
        <v>73</v>
      </c>
      <c r="AQ10" t="s">
        <v>74</v>
      </c>
      <c r="AR10" t="s">
        <v>74</v>
      </c>
      <c r="AS10" t="s">
        <v>68</v>
      </c>
      <c r="AT10" t="s">
        <v>69</v>
      </c>
      <c r="AU10" t="s">
        <v>69</v>
      </c>
      <c r="AV10" t="s">
        <v>74</v>
      </c>
      <c r="AW10" t="s">
        <v>71</v>
      </c>
      <c r="AX10" t="s">
        <v>71</v>
      </c>
      <c r="AY10" t="s">
        <v>74</v>
      </c>
      <c r="AZ10" t="s">
        <v>74</v>
      </c>
      <c r="BA10" t="s">
        <v>68</v>
      </c>
      <c r="BB10" t="s">
        <v>71</v>
      </c>
      <c r="BC10" t="s">
        <v>74</v>
      </c>
      <c r="BD10" t="s">
        <v>71</v>
      </c>
      <c r="BE10" t="s">
        <v>71</v>
      </c>
      <c r="BF10" t="s">
        <v>71</v>
      </c>
      <c r="BG10" t="s">
        <v>74</v>
      </c>
      <c r="BH10" t="s">
        <v>69</v>
      </c>
      <c r="BI10" t="s">
        <v>74</v>
      </c>
    </row>
    <row r="11" spans="1:61" x14ac:dyDescent="0.3">
      <c r="A11">
        <v>10</v>
      </c>
      <c r="B11" s="1">
        <v>45912.763414351852</v>
      </c>
      <c r="C11" s="1">
        <v>45912.766516203701</v>
      </c>
      <c r="D11" t="s">
        <v>61</v>
      </c>
      <c r="F11" t="s">
        <v>86</v>
      </c>
      <c r="G11" t="s">
        <v>87</v>
      </c>
      <c r="H11" t="s">
        <v>97</v>
      </c>
      <c r="I11" t="s">
        <v>98</v>
      </c>
      <c r="J11" t="s">
        <v>78</v>
      </c>
      <c r="K11" t="s">
        <v>66</v>
      </c>
      <c r="L11" t="s">
        <v>83</v>
      </c>
      <c r="M11" t="s">
        <v>96</v>
      </c>
      <c r="N11" t="s">
        <v>99</v>
      </c>
      <c r="O11" t="s">
        <v>71</v>
      </c>
      <c r="P11" t="s">
        <v>71</v>
      </c>
      <c r="Q11" t="s">
        <v>68</v>
      </c>
      <c r="R11" t="s">
        <v>68</v>
      </c>
      <c r="S11" t="s">
        <v>71</v>
      </c>
      <c r="T11" t="s">
        <v>71</v>
      </c>
      <c r="U11" t="s">
        <v>74</v>
      </c>
      <c r="V11" t="s">
        <v>68</v>
      </c>
      <c r="W11" t="s">
        <v>71</v>
      </c>
      <c r="X11" t="s">
        <v>71</v>
      </c>
      <c r="Z11" t="s">
        <v>71</v>
      </c>
      <c r="AA11" t="s">
        <v>71</v>
      </c>
      <c r="AB11" t="s">
        <v>74</v>
      </c>
      <c r="AC11" t="s">
        <v>71</v>
      </c>
      <c r="AD11" t="s">
        <v>71</v>
      </c>
      <c r="AE11" t="s">
        <v>68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68</v>
      </c>
      <c r="AL11" t="s">
        <v>74</v>
      </c>
      <c r="AM11" t="s">
        <v>73</v>
      </c>
      <c r="AN11" t="s">
        <v>68</v>
      </c>
      <c r="AO11" t="s">
        <v>68</v>
      </c>
      <c r="AP11" t="s">
        <v>73</v>
      </c>
      <c r="AQ11" t="s">
        <v>68</v>
      </c>
      <c r="AR11" t="s">
        <v>68</v>
      </c>
      <c r="AS11" t="s">
        <v>68</v>
      </c>
      <c r="AT11" t="s">
        <v>71</v>
      </c>
      <c r="AU11" t="s">
        <v>74</v>
      </c>
      <c r="AV11" t="s">
        <v>71</v>
      </c>
      <c r="AW11" t="s">
        <v>71</v>
      </c>
      <c r="AX11" t="s">
        <v>71</v>
      </c>
      <c r="AY11" t="s">
        <v>74</v>
      </c>
      <c r="AZ11" t="s">
        <v>74</v>
      </c>
      <c r="BA11" t="s">
        <v>74</v>
      </c>
      <c r="BB11" t="s">
        <v>74</v>
      </c>
      <c r="BC11" t="s">
        <v>71</v>
      </c>
      <c r="BD11" t="s">
        <v>68</v>
      </c>
      <c r="BE11" t="s">
        <v>68</v>
      </c>
      <c r="BF11" t="s">
        <v>74</v>
      </c>
      <c r="BG11" t="s">
        <v>71</v>
      </c>
      <c r="BH11" t="s">
        <v>71</v>
      </c>
      <c r="BI11" t="s">
        <v>68</v>
      </c>
    </row>
    <row r="12" spans="1:61" x14ac:dyDescent="0.3">
      <c r="A12">
        <v>11</v>
      </c>
      <c r="B12" s="1">
        <v>45919.8753125</v>
      </c>
      <c r="C12" s="1">
        <v>45919.876400462963</v>
      </c>
      <c r="D12" t="s">
        <v>61</v>
      </c>
      <c r="F12" t="s">
        <v>84</v>
      </c>
      <c r="G12" t="s">
        <v>87</v>
      </c>
      <c r="H12" t="s">
        <v>76</v>
      </c>
      <c r="I12" t="s">
        <v>81</v>
      </c>
      <c r="J12" t="s">
        <v>82</v>
      </c>
      <c r="K12" t="s">
        <v>100</v>
      </c>
      <c r="L12" t="s">
        <v>89</v>
      </c>
      <c r="M12" t="s">
        <v>101</v>
      </c>
      <c r="N12" t="s">
        <v>91</v>
      </c>
      <c r="O12" t="s">
        <v>70</v>
      </c>
      <c r="P12" t="s">
        <v>70</v>
      </c>
      <c r="Q12" t="s">
        <v>70</v>
      </c>
      <c r="R12" t="s">
        <v>70</v>
      </c>
      <c r="S12" t="s">
        <v>70</v>
      </c>
      <c r="T12" t="s">
        <v>70</v>
      </c>
      <c r="U12" t="s">
        <v>70</v>
      </c>
      <c r="V12" t="s">
        <v>70</v>
      </c>
      <c r="W12" t="s">
        <v>70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</row>
    <row r="13" spans="1:61" x14ac:dyDescent="0.3">
      <c r="A13">
        <v>12</v>
      </c>
      <c r="B13" s="1">
        <v>45926.601793981485</v>
      </c>
      <c r="C13" s="1">
        <v>45926.605486111112</v>
      </c>
      <c r="D13" t="s">
        <v>61</v>
      </c>
      <c r="F13" t="s">
        <v>86</v>
      </c>
      <c r="G13" t="s">
        <v>87</v>
      </c>
      <c r="H13" t="s">
        <v>88</v>
      </c>
      <c r="I13" t="s">
        <v>77</v>
      </c>
      <c r="J13" t="s">
        <v>93</v>
      </c>
      <c r="K13" t="s">
        <v>66</v>
      </c>
      <c r="L13" t="s">
        <v>67</v>
      </c>
      <c r="M13" t="s">
        <v>102</v>
      </c>
      <c r="N13" t="s">
        <v>103</v>
      </c>
      <c r="O13" t="s">
        <v>71</v>
      </c>
      <c r="P13" t="s">
        <v>74</v>
      </c>
      <c r="Q13" t="s">
        <v>70</v>
      </c>
      <c r="R13" t="s">
        <v>68</v>
      </c>
      <c r="S13" t="s">
        <v>68</v>
      </c>
      <c r="T13" t="s">
        <v>71</v>
      </c>
      <c r="U13" t="s">
        <v>71</v>
      </c>
      <c r="V13" t="s">
        <v>74</v>
      </c>
      <c r="W13" t="s">
        <v>71</v>
      </c>
      <c r="X13" t="s">
        <v>68</v>
      </c>
      <c r="Y13" t="s">
        <v>72</v>
      </c>
      <c r="Z13" t="s">
        <v>68</v>
      </c>
      <c r="AA13" t="s">
        <v>68</v>
      </c>
      <c r="AB13" t="s">
        <v>68</v>
      </c>
      <c r="AC13" t="s">
        <v>68</v>
      </c>
      <c r="AD13" t="s">
        <v>68</v>
      </c>
      <c r="AE13" t="s">
        <v>71</v>
      </c>
      <c r="AF13" t="s">
        <v>74</v>
      </c>
      <c r="AG13" t="s">
        <v>71</v>
      </c>
      <c r="AH13" t="s">
        <v>71</v>
      </c>
      <c r="AI13" t="s">
        <v>68</v>
      </c>
      <c r="AJ13" t="s">
        <v>71</v>
      </c>
      <c r="AK13" t="s">
        <v>74</v>
      </c>
      <c r="AL13" t="s">
        <v>68</v>
      </c>
      <c r="AM13" t="s">
        <v>71</v>
      </c>
      <c r="AN13" t="s">
        <v>72</v>
      </c>
      <c r="AO13" t="s">
        <v>68</v>
      </c>
      <c r="AP13" t="s">
        <v>71</v>
      </c>
      <c r="AQ13" t="s">
        <v>68</v>
      </c>
      <c r="AR13" t="s">
        <v>68</v>
      </c>
      <c r="AS13" t="s">
        <v>68</v>
      </c>
      <c r="AT13" t="s">
        <v>71</v>
      </c>
      <c r="AU13" t="s">
        <v>71</v>
      </c>
      <c r="AV13" t="s">
        <v>68</v>
      </c>
      <c r="AW13" t="s">
        <v>71</v>
      </c>
      <c r="AX13" t="s">
        <v>71</v>
      </c>
      <c r="AY13" t="s">
        <v>74</v>
      </c>
      <c r="AZ13" t="s">
        <v>69</v>
      </c>
      <c r="BA13" t="s">
        <v>71</v>
      </c>
      <c r="BB13" t="s">
        <v>71</v>
      </c>
      <c r="BC13" t="s">
        <v>71</v>
      </c>
      <c r="BD13" t="s">
        <v>71</v>
      </c>
      <c r="BE13" t="s">
        <v>71</v>
      </c>
      <c r="BF13" t="s">
        <v>74</v>
      </c>
      <c r="BG13" t="s">
        <v>71</v>
      </c>
      <c r="BH13" t="s">
        <v>74</v>
      </c>
      <c r="BI13" t="s">
        <v>68</v>
      </c>
    </row>
    <row r="14" spans="1:61" x14ac:dyDescent="0.3">
      <c r="A14">
        <v>13</v>
      </c>
      <c r="B14" s="1">
        <v>45933.655393518522</v>
      </c>
      <c r="C14" s="1">
        <v>45933.657372685186</v>
      </c>
      <c r="D14" t="s">
        <v>61</v>
      </c>
      <c r="F14" t="s">
        <v>84</v>
      </c>
      <c r="G14" t="s">
        <v>63</v>
      </c>
      <c r="H14" t="s">
        <v>80</v>
      </c>
      <c r="I14" t="s">
        <v>92</v>
      </c>
      <c r="J14" t="s">
        <v>82</v>
      </c>
      <c r="K14" t="s">
        <v>66</v>
      </c>
      <c r="L14" t="s">
        <v>89</v>
      </c>
      <c r="M14" t="s">
        <v>96</v>
      </c>
      <c r="N14" t="s">
        <v>99</v>
      </c>
      <c r="O14" t="s">
        <v>70</v>
      </c>
      <c r="P14" t="s">
        <v>71</v>
      </c>
      <c r="Q14" t="s">
        <v>68</v>
      </c>
      <c r="R14" t="s">
        <v>71</v>
      </c>
      <c r="S14" t="s">
        <v>74</v>
      </c>
      <c r="T14" t="s">
        <v>71</v>
      </c>
      <c r="U14" t="s">
        <v>71</v>
      </c>
      <c r="V14" t="s">
        <v>71</v>
      </c>
      <c r="W14" t="s">
        <v>71</v>
      </c>
      <c r="X14" t="s">
        <v>71</v>
      </c>
      <c r="Y14" t="s">
        <v>71</v>
      </c>
      <c r="Z14" t="s">
        <v>71</v>
      </c>
      <c r="AA14" t="s">
        <v>71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71</v>
      </c>
      <c r="AK14" t="s">
        <v>71</v>
      </c>
      <c r="AL14" t="s">
        <v>71</v>
      </c>
      <c r="AM14" t="s">
        <v>71</v>
      </c>
      <c r="AN14" t="s">
        <v>71</v>
      </c>
      <c r="AO14" t="s">
        <v>71</v>
      </c>
      <c r="AP14" t="s">
        <v>71</v>
      </c>
      <c r="AQ14" t="s">
        <v>71</v>
      </c>
      <c r="AR14" t="s">
        <v>71</v>
      </c>
      <c r="AS14" t="s">
        <v>71</v>
      </c>
      <c r="AT14" t="s">
        <v>71</v>
      </c>
      <c r="AU14" t="s">
        <v>71</v>
      </c>
      <c r="AV14" t="s">
        <v>71</v>
      </c>
      <c r="AW14" t="s">
        <v>71</v>
      </c>
      <c r="AX14" t="s">
        <v>71</v>
      </c>
      <c r="AY14" t="s">
        <v>71</v>
      </c>
      <c r="AZ14" t="s">
        <v>71</v>
      </c>
      <c r="BA14" t="s">
        <v>71</v>
      </c>
      <c r="BB14" t="s">
        <v>71</v>
      </c>
      <c r="BC14" t="s">
        <v>71</v>
      </c>
      <c r="BD14" t="s">
        <v>71</v>
      </c>
      <c r="BE14" t="s">
        <v>71</v>
      </c>
      <c r="BF14" t="s">
        <v>71</v>
      </c>
      <c r="BG14" t="s">
        <v>71</v>
      </c>
      <c r="BH14" t="s">
        <v>71</v>
      </c>
      <c r="BI14" t="s">
        <v>71</v>
      </c>
    </row>
    <row r="15" spans="1:61" x14ac:dyDescent="0.3">
      <c r="A15">
        <v>14</v>
      </c>
      <c r="B15" s="1">
        <v>45933.777430555558</v>
      </c>
      <c r="C15" s="1">
        <v>45933.782835648148</v>
      </c>
      <c r="D15" t="s">
        <v>61</v>
      </c>
      <c r="F15" t="s">
        <v>86</v>
      </c>
      <c r="G15" t="s">
        <v>63</v>
      </c>
      <c r="H15" t="s">
        <v>80</v>
      </c>
      <c r="I15" t="s">
        <v>81</v>
      </c>
      <c r="J15" t="s">
        <v>104</v>
      </c>
      <c r="K15" t="s">
        <v>66</v>
      </c>
      <c r="L15" t="s">
        <v>67</v>
      </c>
      <c r="M15" t="s">
        <v>101</v>
      </c>
      <c r="N15" t="s">
        <v>91</v>
      </c>
      <c r="O15" t="s">
        <v>69</v>
      </c>
      <c r="P15" t="s">
        <v>69</v>
      </c>
      <c r="Q15" t="s">
        <v>71</v>
      </c>
      <c r="R15" t="s">
        <v>68</v>
      </c>
      <c r="S15" t="s">
        <v>71</v>
      </c>
      <c r="T15" t="s">
        <v>71</v>
      </c>
      <c r="U15" t="s">
        <v>71</v>
      </c>
      <c r="V15" t="s">
        <v>71</v>
      </c>
      <c r="W15" t="s">
        <v>71</v>
      </c>
      <c r="X15" t="s">
        <v>71</v>
      </c>
      <c r="Y15" t="s">
        <v>71</v>
      </c>
      <c r="Z15" t="s">
        <v>74</v>
      </c>
      <c r="AA15" t="s">
        <v>71</v>
      </c>
      <c r="AB15" t="s">
        <v>74</v>
      </c>
      <c r="AC15" t="s">
        <v>68</v>
      </c>
      <c r="AD15" t="s">
        <v>68</v>
      </c>
      <c r="AE15" t="s">
        <v>71</v>
      </c>
      <c r="AF15" t="s">
        <v>71</v>
      </c>
      <c r="AG15" t="s">
        <v>71</v>
      </c>
      <c r="AH15" t="s">
        <v>71</v>
      </c>
      <c r="AI15" t="s">
        <v>71</v>
      </c>
      <c r="AJ15" t="s">
        <v>71</v>
      </c>
      <c r="AK15" t="s">
        <v>71</v>
      </c>
      <c r="AL15" t="s">
        <v>71</v>
      </c>
      <c r="AM15" t="s">
        <v>71</v>
      </c>
      <c r="AN15" t="s">
        <v>68</v>
      </c>
      <c r="AO15" t="s">
        <v>68</v>
      </c>
      <c r="AP15" t="s">
        <v>71</v>
      </c>
      <c r="AQ15" t="s">
        <v>68</v>
      </c>
      <c r="AR15" t="s">
        <v>71</v>
      </c>
      <c r="AS15" t="s">
        <v>68</v>
      </c>
      <c r="AT15" t="s">
        <v>71</v>
      </c>
      <c r="AU15" t="s">
        <v>71</v>
      </c>
      <c r="AV15" t="s">
        <v>71</v>
      </c>
      <c r="AW15" t="s">
        <v>71</v>
      </c>
      <c r="AX15" t="s">
        <v>74</v>
      </c>
      <c r="AY15" t="s">
        <v>71</v>
      </c>
      <c r="AZ15" t="s">
        <v>74</v>
      </c>
      <c r="BA15" t="s">
        <v>74</v>
      </c>
      <c r="BB15" t="s">
        <v>71</v>
      </c>
      <c r="BC15" t="s">
        <v>68</v>
      </c>
      <c r="BD15" t="s">
        <v>71</v>
      </c>
      <c r="BE15" t="s">
        <v>71</v>
      </c>
      <c r="BF15" t="s">
        <v>71</v>
      </c>
      <c r="BG15" t="s">
        <v>71</v>
      </c>
      <c r="BH15" t="s">
        <v>71</v>
      </c>
      <c r="BI15" t="s">
        <v>68</v>
      </c>
    </row>
    <row r="16" spans="1:61" x14ac:dyDescent="0.3">
      <c r="A16">
        <v>15</v>
      </c>
      <c r="B16" s="1">
        <v>45934.520578703705</v>
      </c>
      <c r="C16" s="1">
        <v>45934.522650462961</v>
      </c>
      <c r="D16" t="s">
        <v>61</v>
      </c>
      <c r="F16" t="s">
        <v>84</v>
      </c>
      <c r="G16" t="s">
        <v>63</v>
      </c>
      <c r="H16" t="s">
        <v>76</v>
      </c>
      <c r="I16" t="s">
        <v>81</v>
      </c>
      <c r="J16" t="s">
        <v>78</v>
      </c>
      <c r="K16" t="s">
        <v>100</v>
      </c>
      <c r="L16" t="s">
        <v>89</v>
      </c>
      <c r="M16" t="s">
        <v>96</v>
      </c>
      <c r="N16" t="s">
        <v>91</v>
      </c>
      <c r="O16" t="s">
        <v>74</v>
      </c>
      <c r="P16" t="s">
        <v>74</v>
      </c>
      <c r="Q16" t="s">
        <v>68</v>
      </c>
      <c r="R16" t="s">
        <v>68</v>
      </c>
      <c r="S16" t="s">
        <v>74</v>
      </c>
      <c r="T16" t="s">
        <v>74</v>
      </c>
      <c r="U16" t="s">
        <v>71</v>
      </c>
      <c r="V16" t="s">
        <v>74</v>
      </c>
      <c r="W16" t="s">
        <v>74</v>
      </c>
      <c r="X16" t="s">
        <v>68</v>
      </c>
      <c r="Y16" t="s">
        <v>68</v>
      </c>
      <c r="Z16" t="s">
        <v>68</v>
      </c>
      <c r="AA16" t="s">
        <v>68</v>
      </c>
      <c r="AB16" t="s">
        <v>74</v>
      </c>
      <c r="AC16" t="s">
        <v>71</v>
      </c>
      <c r="AD16" t="s">
        <v>68</v>
      </c>
      <c r="AE16" t="s">
        <v>69</v>
      </c>
      <c r="AF16" t="s">
        <v>72</v>
      </c>
      <c r="AG16" t="s">
        <v>68</v>
      </c>
      <c r="AH16" t="s">
        <v>74</v>
      </c>
      <c r="AI16" t="s">
        <v>68</v>
      </c>
      <c r="AJ16" t="s">
        <v>69</v>
      </c>
      <c r="AK16" t="s">
        <v>69</v>
      </c>
      <c r="AL16" t="s">
        <v>69</v>
      </c>
      <c r="AM16" t="s">
        <v>73</v>
      </c>
      <c r="AN16" t="s">
        <v>68</v>
      </c>
      <c r="AO16" t="s">
        <v>68</v>
      </c>
      <c r="AP16" t="s">
        <v>74</v>
      </c>
      <c r="AQ16" t="s">
        <v>68</v>
      </c>
      <c r="AR16" t="s">
        <v>68</v>
      </c>
      <c r="AS16" t="s">
        <v>68</v>
      </c>
      <c r="AT16" t="s">
        <v>71</v>
      </c>
      <c r="AU16" t="s">
        <v>71</v>
      </c>
      <c r="AV16" t="s">
        <v>68</v>
      </c>
      <c r="AW16" t="s">
        <v>68</v>
      </c>
      <c r="AX16" t="s">
        <v>71</v>
      </c>
      <c r="AY16" t="s">
        <v>69</v>
      </c>
      <c r="AZ16" t="s">
        <v>68</v>
      </c>
      <c r="BA16" t="s">
        <v>68</v>
      </c>
      <c r="BB16" t="s">
        <v>74</v>
      </c>
      <c r="BC16" t="s">
        <v>74</v>
      </c>
      <c r="BD16" t="s">
        <v>74</v>
      </c>
      <c r="BE16" t="s">
        <v>71</v>
      </c>
      <c r="BF16" t="s">
        <v>71</v>
      </c>
      <c r="BG16" t="s">
        <v>71</v>
      </c>
      <c r="BH16" t="s">
        <v>69</v>
      </c>
      <c r="BI16" t="s">
        <v>68</v>
      </c>
    </row>
    <row r="17" spans="1:61" x14ac:dyDescent="0.3">
      <c r="A17">
        <v>16</v>
      </c>
      <c r="B17" s="1">
        <v>45939.476770833331</v>
      </c>
      <c r="C17" s="1">
        <v>45939.480740740742</v>
      </c>
      <c r="D17" t="s">
        <v>61</v>
      </c>
      <c r="F17" t="s">
        <v>75</v>
      </c>
      <c r="G17" t="s">
        <v>63</v>
      </c>
      <c r="H17" t="s">
        <v>80</v>
      </c>
      <c r="I17" t="s">
        <v>77</v>
      </c>
      <c r="J17" t="s">
        <v>78</v>
      </c>
      <c r="K17" t="s">
        <v>66</v>
      </c>
      <c r="L17" t="s">
        <v>67</v>
      </c>
      <c r="M17" t="s">
        <v>105</v>
      </c>
      <c r="N17" t="s">
        <v>91</v>
      </c>
      <c r="O17" t="s">
        <v>74</v>
      </c>
      <c r="P17" t="s">
        <v>68</v>
      </c>
      <c r="Q17" t="s">
        <v>68</v>
      </c>
      <c r="R17" t="s">
        <v>70</v>
      </c>
      <c r="S17" t="s">
        <v>68</v>
      </c>
      <c r="T17" t="s">
        <v>71</v>
      </c>
      <c r="U17" t="s">
        <v>71</v>
      </c>
      <c r="V17" t="s">
        <v>68</v>
      </c>
      <c r="W17" t="s">
        <v>71</v>
      </c>
      <c r="X17" t="s">
        <v>68</v>
      </c>
      <c r="Y17" t="s">
        <v>68</v>
      </c>
      <c r="Z17" t="s">
        <v>74</v>
      </c>
      <c r="AA17" t="s">
        <v>68</v>
      </c>
      <c r="AB17" t="s">
        <v>74</v>
      </c>
      <c r="AC17" t="s">
        <v>71</v>
      </c>
      <c r="AD17" t="s">
        <v>68</v>
      </c>
      <c r="AE17" t="s">
        <v>74</v>
      </c>
      <c r="AF17" t="s">
        <v>68</v>
      </c>
      <c r="AG17" t="s">
        <v>71</v>
      </c>
      <c r="AH17" t="s">
        <v>68</v>
      </c>
      <c r="AI17" t="s">
        <v>68</v>
      </c>
      <c r="AJ17" t="s">
        <v>68</v>
      </c>
      <c r="AK17" t="s">
        <v>68</v>
      </c>
      <c r="AL17" t="s">
        <v>74</v>
      </c>
      <c r="AM17" t="s">
        <v>74</v>
      </c>
      <c r="AN17" t="s">
        <v>68</v>
      </c>
      <c r="AO17" t="s">
        <v>68</v>
      </c>
      <c r="AP17" t="s">
        <v>74</v>
      </c>
      <c r="AQ17" t="s">
        <v>68</v>
      </c>
      <c r="AR17" t="s">
        <v>68</v>
      </c>
      <c r="AS17" t="s">
        <v>68</v>
      </c>
      <c r="AT17" t="s">
        <v>68</v>
      </c>
      <c r="AU17" t="s">
        <v>68</v>
      </c>
      <c r="AV17" t="s">
        <v>68</v>
      </c>
      <c r="AW17" t="s">
        <v>68</v>
      </c>
      <c r="AX17" t="s">
        <v>74</v>
      </c>
      <c r="AY17" t="s">
        <v>74</v>
      </c>
      <c r="AZ17" t="s">
        <v>71</v>
      </c>
      <c r="BA17" t="s">
        <v>71</v>
      </c>
      <c r="BB17" t="s">
        <v>74</v>
      </c>
      <c r="BC17" t="s">
        <v>74</v>
      </c>
      <c r="BD17" t="s">
        <v>71</v>
      </c>
      <c r="BE17" t="s">
        <v>74</v>
      </c>
      <c r="BF17" t="s">
        <v>71</v>
      </c>
      <c r="BG17" t="s">
        <v>71</v>
      </c>
      <c r="BH17" t="s">
        <v>69</v>
      </c>
      <c r="BI17" t="s">
        <v>68</v>
      </c>
    </row>
    <row r="18" spans="1:61" x14ac:dyDescent="0.3">
      <c r="A18">
        <v>17</v>
      </c>
      <c r="B18" s="1">
        <v>45947.743101851855</v>
      </c>
      <c r="C18" s="1">
        <v>45947.748807870368</v>
      </c>
      <c r="D18" t="s">
        <v>61</v>
      </c>
      <c r="F18" t="s">
        <v>62</v>
      </c>
      <c r="G18" t="s">
        <v>63</v>
      </c>
      <c r="H18" t="s">
        <v>88</v>
      </c>
      <c r="I18" t="s">
        <v>77</v>
      </c>
      <c r="J18" t="s">
        <v>82</v>
      </c>
      <c r="K18" t="s">
        <v>66</v>
      </c>
      <c r="L18" t="s">
        <v>106</v>
      </c>
      <c r="M18" t="s">
        <v>107</v>
      </c>
      <c r="N18" t="s">
        <v>91</v>
      </c>
      <c r="O18" t="s">
        <v>74</v>
      </c>
      <c r="P18" t="s">
        <v>69</v>
      </c>
      <c r="Q18" t="s">
        <v>68</v>
      </c>
      <c r="R18" t="s">
        <v>68</v>
      </c>
      <c r="S18" t="s">
        <v>71</v>
      </c>
      <c r="T18" t="s">
        <v>68</v>
      </c>
      <c r="U18" t="s">
        <v>68</v>
      </c>
      <c r="V18" t="s">
        <v>71</v>
      </c>
      <c r="W18" t="s">
        <v>68</v>
      </c>
      <c r="X18" t="s">
        <v>74</v>
      </c>
      <c r="Y18" t="s">
        <v>71</v>
      </c>
      <c r="Z18" t="s">
        <v>74</v>
      </c>
      <c r="AA18" t="s">
        <v>68</v>
      </c>
      <c r="AB18" t="s">
        <v>74</v>
      </c>
      <c r="AC18" t="s">
        <v>68</v>
      </c>
      <c r="AD18" t="s">
        <v>68</v>
      </c>
      <c r="AE18" t="s">
        <v>74</v>
      </c>
      <c r="AF18" t="s">
        <v>74</v>
      </c>
      <c r="AG18" t="s">
        <v>68</v>
      </c>
      <c r="AH18" t="s">
        <v>68</v>
      </c>
      <c r="AI18" t="s">
        <v>74</v>
      </c>
      <c r="AJ18" t="s">
        <v>71</v>
      </c>
      <c r="AK18" t="s">
        <v>74</v>
      </c>
      <c r="AL18" t="s">
        <v>74</v>
      </c>
      <c r="AM18" t="s">
        <v>74</v>
      </c>
      <c r="AN18" t="s">
        <v>68</v>
      </c>
      <c r="AO18" t="s">
        <v>68</v>
      </c>
      <c r="AP18" t="s">
        <v>74</v>
      </c>
      <c r="AQ18" t="s">
        <v>68</v>
      </c>
      <c r="AR18" t="s">
        <v>68</v>
      </c>
      <c r="AS18" t="s">
        <v>68</v>
      </c>
      <c r="AT18" t="s">
        <v>71</v>
      </c>
      <c r="AU18" t="s">
        <v>68</v>
      </c>
      <c r="AV18" t="s">
        <v>74</v>
      </c>
      <c r="AW18" t="s">
        <v>74</v>
      </c>
      <c r="AX18" t="s">
        <v>71</v>
      </c>
      <c r="AY18" t="s">
        <v>71</v>
      </c>
      <c r="AZ18" t="s">
        <v>74</v>
      </c>
      <c r="BA18" t="s">
        <v>74</v>
      </c>
      <c r="BB18" t="s">
        <v>74</v>
      </c>
      <c r="BC18" t="s">
        <v>71</v>
      </c>
      <c r="BD18" t="s">
        <v>74</v>
      </c>
      <c r="BE18" t="s">
        <v>68</v>
      </c>
      <c r="BF18" t="s">
        <v>68</v>
      </c>
      <c r="BG18" t="s">
        <v>74</v>
      </c>
      <c r="BH18" t="s">
        <v>74</v>
      </c>
      <c r="BI18" t="s">
        <v>68</v>
      </c>
    </row>
    <row r="19" spans="1:61" x14ac:dyDescent="0.3">
      <c r="A19">
        <v>18</v>
      </c>
      <c r="B19" s="1">
        <v>45947.768738425926</v>
      </c>
      <c r="C19" s="1">
        <v>45947.772465277776</v>
      </c>
      <c r="D19" t="s">
        <v>61</v>
      </c>
      <c r="F19" t="s">
        <v>86</v>
      </c>
      <c r="G19" t="s">
        <v>63</v>
      </c>
      <c r="H19" t="s">
        <v>88</v>
      </c>
      <c r="I19" t="s">
        <v>77</v>
      </c>
      <c r="J19" t="s">
        <v>78</v>
      </c>
      <c r="K19" t="s">
        <v>66</v>
      </c>
      <c r="L19" t="s">
        <v>67</v>
      </c>
      <c r="M19" t="s">
        <v>108</v>
      </c>
      <c r="O19" t="s">
        <v>74</v>
      </c>
      <c r="P19" t="s">
        <v>71</v>
      </c>
      <c r="Q19" t="s">
        <v>71</v>
      </c>
      <c r="R19" t="s">
        <v>68</v>
      </c>
      <c r="S19" t="s">
        <v>71</v>
      </c>
      <c r="T19" t="s">
        <v>69</v>
      </c>
      <c r="U19" t="s">
        <v>69</v>
      </c>
      <c r="V19" t="s">
        <v>69</v>
      </c>
      <c r="W19" t="s">
        <v>69</v>
      </c>
      <c r="X19" t="s">
        <v>71</v>
      </c>
      <c r="Y19" t="s">
        <v>69</v>
      </c>
      <c r="Z19" t="s">
        <v>69</v>
      </c>
      <c r="AA19" t="s">
        <v>71</v>
      </c>
      <c r="AB19" t="s">
        <v>69</v>
      </c>
      <c r="AC19" t="s">
        <v>74</v>
      </c>
      <c r="AD19" t="s">
        <v>74</v>
      </c>
      <c r="AE19" t="s">
        <v>69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 t="s">
        <v>69</v>
      </c>
      <c r="AL19" t="s">
        <v>69</v>
      </c>
      <c r="AM19" t="s">
        <v>73</v>
      </c>
      <c r="AN19" t="s">
        <v>68</v>
      </c>
      <c r="AO19" t="s">
        <v>68</v>
      </c>
      <c r="AP19" t="s">
        <v>73</v>
      </c>
      <c r="AQ19" t="s">
        <v>68</v>
      </c>
      <c r="AR19" t="s">
        <v>71</v>
      </c>
      <c r="AS19" t="s">
        <v>71</v>
      </c>
      <c r="AT19" t="s">
        <v>74</v>
      </c>
      <c r="AU19" t="s">
        <v>69</v>
      </c>
      <c r="AV19" t="s">
        <v>69</v>
      </c>
      <c r="AW19" t="s">
        <v>69</v>
      </c>
      <c r="AX19" t="s">
        <v>71</v>
      </c>
      <c r="AY19" t="s">
        <v>69</v>
      </c>
      <c r="AZ19" t="s">
        <v>69</v>
      </c>
      <c r="BA19" t="s">
        <v>69</v>
      </c>
      <c r="BB19" t="s">
        <v>69</v>
      </c>
      <c r="BC19" t="s">
        <v>72</v>
      </c>
      <c r="BD19" t="s">
        <v>72</v>
      </c>
      <c r="BE19" t="s">
        <v>71</v>
      </c>
      <c r="BF19" t="s">
        <v>71</v>
      </c>
      <c r="BG19" t="s">
        <v>71</v>
      </c>
      <c r="BH19" t="s">
        <v>69</v>
      </c>
      <c r="BI19" t="s">
        <v>71</v>
      </c>
    </row>
    <row r="20" spans="1:61" x14ac:dyDescent="0.3">
      <c r="A20">
        <v>19</v>
      </c>
      <c r="B20" s="1">
        <v>45947.881736111114</v>
      </c>
      <c r="C20" s="1">
        <v>45947.894606481481</v>
      </c>
      <c r="D20" t="s">
        <v>61</v>
      </c>
      <c r="F20" t="s">
        <v>109</v>
      </c>
      <c r="G20" t="s">
        <v>65</v>
      </c>
      <c r="H20" t="s">
        <v>76</v>
      </c>
      <c r="I20" t="s">
        <v>77</v>
      </c>
      <c r="J20" t="s">
        <v>65</v>
      </c>
      <c r="K20" t="s">
        <v>66</v>
      </c>
      <c r="L20" t="s">
        <v>110</v>
      </c>
      <c r="M20" t="s">
        <v>96</v>
      </c>
      <c r="N20" t="s">
        <v>91</v>
      </c>
      <c r="O20" t="s">
        <v>74</v>
      </c>
      <c r="P20" t="s">
        <v>74</v>
      </c>
      <c r="Q20" t="s">
        <v>71</v>
      </c>
      <c r="R20" t="s">
        <v>68</v>
      </c>
      <c r="S20" t="s">
        <v>71</v>
      </c>
      <c r="T20" t="s">
        <v>71</v>
      </c>
      <c r="U20" t="s">
        <v>71</v>
      </c>
      <c r="V20" t="s">
        <v>71</v>
      </c>
      <c r="W20" t="s">
        <v>71</v>
      </c>
      <c r="X20" t="s">
        <v>71</v>
      </c>
      <c r="Y20" t="s">
        <v>69</v>
      </c>
      <c r="Z20" t="s">
        <v>69</v>
      </c>
      <c r="AA20" t="s">
        <v>69</v>
      </c>
      <c r="AB20" t="s">
        <v>71</v>
      </c>
      <c r="AC20" t="s">
        <v>71</v>
      </c>
      <c r="AD20" t="s">
        <v>68</v>
      </c>
      <c r="AE20" t="s">
        <v>68</v>
      </c>
      <c r="AF20" t="s">
        <v>71</v>
      </c>
      <c r="AG20" t="s">
        <v>68</v>
      </c>
      <c r="AH20" t="s">
        <v>68</v>
      </c>
      <c r="AI20" t="s">
        <v>68</v>
      </c>
      <c r="AJ20" t="s">
        <v>68</v>
      </c>
      <c r="AK20" t="s">
        <v>68</v>
      </c>
      <c r="AL20" t="s">
        <v>71</v>
      </c>
      <c r="AM20" t="s">
        <v>68</v>
      </c>
      <c r="AN20" t="s">
        <v>68</v>
      </c>
      <c r="AO20" t="s">
        <v>68</v>
      </c>
      <c r="AP20" t="s">
        <v>68</v>
      </c>
      <c r="AQ20" t="s">
        <v>68</v>
      </c>
      <c r="AR20" t="s">
        <v>68</v>
      </c>
      <c r="AS20" t="s">
        <v>68</v>
      </c>
      <c r="AT20" t="s">
        <v>68</v>
      </c>
      <c r="AU20" t="s">
        <v>68</v>
      </c>
      <c r="AV20" t="s">
        <v>68</v>
      </c>
      <c r="AW20" t="s">
        <v>68</v>
      </c>
      <c r="AX20" t="s">
        <v>71</v>
      </c>
      <c r="AY20" t="s">
        <v>68</v>
      </c>
      <c r="AZ20" t="s">
        <v>69</v>
      </c>
      <c r="BA20" t="s">
        <v>69</v>
      </c>
      <c r="BB20" t="s">
        <v>74</v>
      </c>
      <c r="BC20" t="s">
        <v>71</v>
      </c>
      <c r="BD20" t="s">
        <v>71</v>
      </c>
      <c r="BE20" t="s">
        <v>68</v>
      </c>
      <c r="BF20" t="s">
        <v>71</v>
      </c>
      <c r="BG20" t="s">
        <v>71</v>
      </c>
      <c r="BH20" t="s">
        <v>71</v>
      </c>
      <c r="BI20" t="s">
        <v>68</v>
      </c>
    </row>
    <row r="21" spans="1:61" x14ac:dyDescent="0.3">
      <c r="A21">
        <v>20</v>
      </c>
      <c r="B21" s="1">
        <v>45947.895486111112</v>
      </c>
      <c r="C21" s="1">
        <v>45947.901469907411</v>
      </c>
      <c r="D21" t="s">
        <v>61</v>
      </c>
      <c r="F21" t="s">
        <v>75</v>
      </c>
      <c r="G21" t="s">
        <v>87</v>
      </c>
      <c r="H21" t="s">
        <v>97</v>
      </c>
      <c r="I21" t="s">
        <v>81</v>
      </c>
      <c r="J21" t="s">
        <v>82</v>
      </c>
      <c r="K21" t="s">
        <v>100</v>
      </c>
      <c r="L21" t="s">
        <v>65</v>
      </c>
      <c r="M21" t="s">
        <v>111</v>
      </c>
      <c r="N21" t="s">
        <v>91</v>
      </c>
      <c r="O21" t="s">
        <v>68</v>
      </c>
      <c r="P21" t="s">
        <v>68</v>
      </c>
      <c r="Q21" t="s">
        <v>68</v>
      </c>
      <c r="R21" t="s">
        <v>68</v>
      </c>
      <c r="S21" t="s">
        <v>68</v>
      </c>
      <c r="T21" t="s">
        <v>68</v>
      </c>
      <c r="U21" t="s">
        <v>68</v>
      </c>
      <c r="V21" t="s">
        <v>68</v>
      </c>
      <c r="W21" t="s">
        <v>68</v>
      </c>
      <c r="X21" t="s">
        <v>68</v>
      </c>
      <c r="Y21" t="s">
        <v>71</v>
      </c>
      <c r="Z21" t="s">
        <v>68</v>
      </c>
      <c r="AA21" t="s">
        <v>71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t="s">
        <v>68</v>
      </c>
      <c r="AL21" t="s">
        <v>72</v>
      </c>
      <c r="AM21" t="s">
        <v>68</v>
      </c>
      <c r="AN21" t="s">
        <v>68</v>
      </c>
      <c r="AO21" t="s">
        <v>68</v>
      </c>
      <c r="AP21" t="s">
        <v>68</v>
      </c>
      <c r="AQ21" t="s">
        <v>68</v>
      </c>
      <c r="AR21" t="s">
        <v>68</v>
      </c>
      <c r="AS21" t="s">
        <v>68</v>
      </c>
      <c r="AT21" t="s">
        <v>68</v>
      </c>
      <c r="AU21" t="s">
        <v>68</v>
      </c>
      <c r="AV21" t="s">
        <v>68</v>
      </c>
      <c r="AW21" t="s">
        <v>68</v>
      </c>
      <c r="AX21" t="s">
        <v>74</v>
      </c>
      <c r="AY21" t="s">
        <v>68</v>
      </c>
      <c r="AZ21" t="s">
        <v>71</v>
      </c>
      <c r="BA21" t="s">
        <v>71</v>
      </c>
      <c r="BB21" t="s">
        <v>71</v>
      </c>
      <c r="BC21" t="s">
        <v>71</v>
      </c>
      <c r="BD21" t="s">
        <v>71</v>
      </c>
      <c r="BE21" t="s">
        <v>68</v>
      </c>
      <c r="BF21" t="s">
        <v>71</v>
      </c>
      <c r="BG21" t="s">
        <v>68</v>
      </c>
      <c r="BH21" t="s">
        <v>68</v>
      </c>
      <c r="BI21" t="s">
        <v>68</v>
      </c>
    </row>
    <row r="22" spans="1:61" x14ac:dyDescent="0.3">
      <c r="A22">
        <v>21</v>
      </c>
      <c r="B22" s="1">
        <v>45948.209305555552</v>
      </c>
      <c r="C22" s="1">
        <v>45948.215381944443</v>
      </c>
      <c r="D22" t="s">
        <v>61</v>
      </c>
      <c r="F22" t="s">
        <v>84</v>
      </c>
      <c r="G22" t="s">
        <v>65</v>
      </c>
      <c r="H22" t="s">
        <v>97</v>
      </c>
      <c r="I22" t="s">
        <v>81</v>
      </c>
      <c r="J22" t="s">
        <v>82</v>
      </c>
      <c r="K22" t="s">
        <v>66</v>
      </c>
      <c r="L22" t="s">
        <v>83</v>
      </c>
      <c r="M22" t="s">
        <v>94</v>
      </c>
      <c r="N22" t="s">
        <v>91</v>
      </c>
      <c r="O22" t="s">
        <v>68</v>
      </c>
      <c r="P22" t="s">
        <v>71</v>
      </c>
      <c r="Q22" t="s">
        <v>74</v>
      </c>
      <c r="R22" t="s">
        <v>71</v>
      </c>
      <c r="S22" t="s">
        <v>71</v>
      </c>
      <c r="T22" t="s">
        <v>71</v>
      </c>
      <c r="U22" t="s">
        <v>71</v>
      </c>
      <c r="V22" t="s">
        <v>74</v>
      </c>
      <c r="W22" t="s">
        <v>71</v>
      </c>
      <c r="X22" t="s">
        <v>71</v>
      </c>
      <c r="Y22" t="s">
        <v>71</v>
      </c>
      <c r="Z22" t="s">
        <v>71</v>
      </c>
      <c r="AA22" t="s">
        <v>71</v>
      </c>
      <c r="AB22" t="s">
        <v>71</v>
      </c>
      <c r="AC22" t="s">
        <v>68</v>
      </c>
      <c r="AD22" t="s">
        <v>68</v>
      </c>
      <c r="AE22" t="s">
        <v>68</v>
      </c>
      <c r="AF22" t="s">
        <v>71</v>
      </c>
      <c r="AG22" t="s">
        <v>71</v>
      </c>
      <c r="AH22" t="s">
        <v>74</v>
      </c>
      <c r="AI22" t="s">
        <v>71</v>
      </c>
      <c r="AJ22" t="s">
        <v>68</v>
      </c>
      <c r="AK22" t="s">
        <v>68</v>
      </c>
      <c r="AL22" t="s">
        <v>71</v>
      </c>
      <c r="AM22" t="s">
        <v>71</v>
      </c>
      <c r="AN22" t="s">
        <v>68</v>
      </c>
      <c r="AO22" t="s">
        <v>68</v>
      </c>
      <c r="AP22" t="s">
        <v>74</v>
      </c>
      <c r="AQ22" t="s">
        <v>71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68</v>
      </c>
      <c r="AY22" t="s">
        <v>74</v>
      </c>
      <c r="AZ22" t="s">
        <v>74</v>
      </c>
      <c r="BA22" t="s">
        <v>74</v>
      </c>
      <c r="BB22" t="s">
        <v>74</v>
      </c>
      <c r="BC22" t="s">
        <v>71</v>
      </c>
      <c r="BD22" t="s">
        <v>71</v>
      </c>
      <c r="BE22" t="s">
        <v>71</v>
      </c>
      <c r="BF22" t="s">
        <v>74</v>
      </c>
      <c r="BG22" t="s">
        <v>71</v>
      </c>
      <c r="BH22" t="s">
        <v>71</v>
      </c>
      <c r="BI22" t="s">
        <v>68</v>
      </c>
    </row>
    <row r="23" spans="1:61" x14ac:dyDescent="0.3">
      <c r="A23">
        <v>22</v>
      </c>
      <c r="B23" s="1">
        <v>45948.350092592591</v>
      </c>
      <c r="C23" s="1">
        <v>45948.353576388887</v>
      </c>
      <c r="D23" t="s">
        <v>61</v>
      </c>
      <c r="F23" t="s">
        <v>95</v>
      </c>
      <c r="G23" t="s">
        <v>63</v>
      </c>
      <c r="H23" t="s">
        <v>88</v>
      </c>
      <c r="I23" t="s">
        <v>77</v>
      </c>
      <c r="J23" t="s">
        <v>93</v>
      </c>
      <c r="K23" t="s">
        <v>66</v>
      </c>
      <c r="L23" t="s">
        <v>106</v>
      </c>
      <c r="M23" t="s">
        <v>90</v>
      </c>
      <c r="N23" t="s">
        <v>91</v>
      </c>
      <c r="O23" t="s">
        <v>68</v>
      </c>
      <c r="P23" t="s">
        <v>68</v>
      </c>
      <c r="Q23" t="s">
        <v>68</v>
      </c>
      <c r="R23" t="s">
        <v>68</v>
      </c>
      <c r="S23" t="s">
        <v>68</v>
      </c>
      <c r="T23" t="s">
        <v>68</v>
      </c>
      <c r="U23" t="s">
        <v>68</v>
      </c>
      <c r="V23" t="s">
        <v>68</v>
      </c>
      <c r="W23" t="s">
        <v>68</v>
      </c>
      <c r="X23" t="s">
        <v>68</v>
      </c>
      <c r="Y23" t="s">
        <v>71</v>
      </c>
      <c r="Z23" t="s">
        <v>71</v>
      </c>
      <c r="AA23" t="s">
        <v>71</v>
      </c>
      <c r="AB23" t="s">
        <v>69</v>
      </c>
      <c r="AC23" t="s">
        <v>68</v>
      </c>
      <c r="AD23" t="s">
        <v>68</v>
      </c>
      <c r="AE23" t="s">
        <v>71</v>
      </c>
      <c r="AF23" t="s">
        <v>71</v>
      </c>
      <c r="AG23" t="s">
        <v>71</v>
      </c>
      <c r="AH23" t="s">
        <v>71</v>
      </c>
      <c r="AI23" t="s">
        <v>68</v>
      </c>
      <c r="AJ23" t="s">
        <v>68</v>
      </c>
      <c r="AK23" t="s">
        <v>71</v>
      </c>
      <c r="AL23" t="s">
        <v>74</v>
      </c>
      <c r="AM23" t="s">
        <v>74</v>
      </c>
      <c r="AN23" t="s">
        <v>68</v>
      </c>
      <c r="AO23" t="s">
        <v>68</v>
      </c>
      <c r="AP23" t="s">
        <v>68</v>
      </c>
      <c r="AQ23" t="s">
        <v>68</v>
      </c>
      <c r="AR23" t="s">
        <v>68</v>
      </c>
      <c r="AS23" t="s">
        <v>68</v>
      </c>
      <c r="AT23" t="s">
        <v>68</v>
      </c>
      <c r="AU23" t="s">
        <v>68</v>
      </c>
      <c r="AV23" t="s">
        <v>71</v>
      </c>
      <c r="AW23" t="s">
        <v>71</v>
      </c>
      <c r="AX23" t="s">
        <v>71</v>
      </c>
      <c r="AY23" t="s">
        <v>74</v>
      </c>
      <c r="AZ23" t="s">
        <v>69</v>
      </c>
      <c r="BA23" t="s">
        <v>69</v>
      </c>
      <c r="BB23" t="s">
        <v>69</v>
      </c>
      <c r="BC23" t="s">
        <v>68</v>
      </c>
      <c r="BD23" t="s">
        <v>68</v>
      </c>
      <c r="BE23" t="s">
        <v>68</v>
      </c>
      <c r="BF23" t="s">
        <v>69</v>
      </c>
      <c r="BG23" t="s">
        <v>74</v>
      </c>
      <c r="BH23" t="s">
        <v>69</v>
      </c>
      <c r="BI23" t="s">
        <v>68</v>
      </c>
    </row>
    <row r="24" spans="1:61" x14ac:dyDescent="0.3">
      <c r="A24">
        <v>23</v>
      </c>
      <c r="B24" s="1">
        <v>45948.625416666669</v>
      </c>
      <c r="C24" s="1">
        <v>45948.628657407404</v>
      </c>
      <c r="D24" t="s">
        <v>61</v>
      </c>
      <c r="F24" t="s">
        <v>95</v>
      </c>
      <c r="G24" t="s">
        <v>63</v>
      </c>
      <c r="H24" t="s">
        <v>76</v>
      </c>
      <c r="I24" t="s">
        <v>77</v>
      </c>
      <c r="J24" t="s">
        <v>93</v>
      </c>
      <c r="K24" t="s">
        <v>66</v>
      </c>
      <c r="L24" t="s">
        <v>106</v>
      </c>
      <c r="M24" t="s">
        <v>96</v>
      </c>
      <c r="N24" t="s">
        <v>91</v>
      </c>
      <c r="O24" t="s">
        <v>68</v>
      </c>
      <c r="P24" t="s">
        <v>74</v>
      </c>
      <c r="Q24" t="s">
        <v>68</v>
      </c>
      <c r="R24" t="s">
        <v>74</v>
      </c>
      <c r="S24" t="s">
        <v>68</v>
      </c>
      <c r="T24" t="s">
        <v>68</v>
      </c>
      <c r="U24" t="s">
        <v>68</v>
      </c>
      <c r="V24" t="s">
        <v>68</v>
      </c>
      <c r="W24" t="s">
        <v>68</v>
      </c>
      <c r="X24" t="s">
        <v>71</v>
      </c>
      <c r="Y24" t="s">
        <v>71</v>
      </c>
      <c r="Z24" t="s">
        <v>74</v>
      </c>
      <c r="AA24" t="s">
        <v>71</v>
      </c>
      <c r="AB24" t="s">
        <v>74</v>
      </c>
      <c r="AC24" t="s">
        <v>68</v>
      </c>
      <c r="AD24" t="s">
        <v>68</v>
      </c>
      <c r="AE24" t="s">
        <v>74</v>
      </c>
      <c r="AF24" t="s">
        <v>71</v>
      </c>
      <c r="AG24" t="s">
        <v>71</v>
      </c>
      <c r="AH24" t="s">
        <v>68</v>
      </c>
      <c r="AI24" t="s">
        <v>68</v>
      </c>
      <c r="AJ24" t="s">
        <v>71</v>
      </c>
      <c r="AK24" t="s">
        <v>74</v>
      </c>
      <c r="AL24" t="s">
        <v>74</v>
      </c>
      <c r="AM24" t="s">
        <v>68</v>
      </c>
      <c r="AN24" t="s">
        <v>68</v>
      </c>
      <c r="AO24" t="s">
        <v>68</v>
      </c>
      <c r="AP24" t="s">
        <v>71</v>
      </c>
      <c r="AQ24" t="s">
        <v>68</v>
      </c>
      <c r="AR24" t="s">
        <v>74</v>
      </c>
      <c r="AS24" t="s">
        <v>68</v>
      </c>
      <c r="AT24" t="s">
        <v>68</v>
      </c>
      <c r="AU24" t="s">
        <v>71</v>
      </c>
      <c r="AV24" t="s">
        <v>71</v>
      </c>
      <c r="AW24" t="s">
        <v>71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68</v>
      </c>
      <c r="BD24" t="s">
        <v>68</v>
      </c>
      <c r="BE24" t="s">
        <v>74</v>
      </c>
      <c r="BF24" t="s">
        <v>74</v>
      </c>
      <c r="BG24" t="s">
        <v>74</v>
      </c>
      <c r="BH24" t="s">
        <v>74</v>
      </c>
      <c r="BI24" t="s">
        <v>68</v>
      </c>
    </row>
    <row r="25" spans="1:61" x14ac:dyDescent="0.3">
      <c r="A25">
        <v>24</v>
      </c>
      <c r="B25" s="1">
        <v>45950.359293981484</v>
      </c>
      <c r="C25" s="1">
        <v>45950.362893518519</v>
      </c>
      <c r="D25" t="s">
        <v>61</v>
      </c>
      <c r="F25" t="s">
        <v>95</v>
      </c>
      <c r="G25" t="s">
        <v>87</v>
      </c>
      <c r="H25" t="s">
        <v>88</v>
      </c>
      <c r="I25" t="s">
        <v>77</v>
      </c>
      <c r="J25" t="s">
        <v>93</v>
      </c>
      <c r="K25" t="s">
        <v>66</v>
      </c>
      <c r="L25" t="s">
        <v>106</v>
      </c>
      <c r="M25" t="s">
        <v>107</v>
      </c>
      <c r="N25" t="s">
        <v>91</v>
      </c>
      <c r="O25" t="s">
        <v>68</v>
      </c>
      <c r="P25" t="s">
        <v>68</v>
      </c>
      <c r="Q25" t="s">
        <v>68</v>
      </c>
      <c r="R25" t="s">
        <v>69</v>
      </c>
      <c r="S25" t="s">
        <v>68</v>
      </c>
      <c r="T25" t="s">
        <v>68</v>
      </c>
      <c r="U25" t="s">
        <v>74</v>
      </c>
      <c r="V25" t="s">
        <v>74</v>
      </c>
      <c r="W25" t="s">
        <v>74</v>
      </c>
      <c r="X25" t="s">
        <v>74</v>
      </c>
      <c r="Y25" t="s">
        <v>68</v>
      </c>
      <c r="Z25" t="s">
        <v>68</v>
      </c>
      <c r="AA25" t="s">
        <v>68</v>
      </c>
      <c r="AB25" t="s">
        <v>74</v>
      </c>
      <c r="AC25" t="s">
        <v>68</v>
      </c>
      <c r="AD25" t="s">
        <v>68</v>
      </c>
      <c r="AE25" t="s">
        <v>74</v>
      </c>
      <c r="AF25" t="s">
        <v>74</v>
      </c>
      <c r="AG25" t="s">
        <v>74</v>
      </c>
      <c r="AH25" t="s">
        <v>74</v>
      </c>
      <c r="AI25" t="s">
        <v>71</v>
      </c>
      <c r="AJ25" t="s">
        <v>74</v>
      </c>
      <c r="AK25" t="s">
        <v>74</v>
      </c>
      <c r="AL25" t="s">
        <v>74</v>
      </c>
      <c r="AM25" t="s">
        <v>74</v>
      </c>
      <c r="AN25" t="s">
        <v>68</v>
      </c>
      <c r="AO25" t="s">
        <v>68</v>
      </c>
      <c r="AP25" t="s">
        <v>71</v>
      </c>
      <c r="AQ25" t="s">
        <v>68</v>
      </c>
      <c r="AR25" t="s">
        <v>68</v>
      </c>
      <c r="AS25" t="s">
        <v>68</v>
      </c>
      <c r="AT25" t="s">
        <v>68</v>
      </c>
      <c r="AU25" t="s">
        <v>74</v>
      </c>
      <c r="AV25" t="s">
        <v>74</v>
      </c>
      <c r="AW25" t="s">
        <v>74</v>
      </c>
      <c r="AX25" t="s">
        <v>68</v>
      </c>
      <c r="AY25" t="s">
        <v>74</v>
      </c>
      <c r="AZ25" t="s">
        <v>71</v>
      </c>
      <c r="BA25" t="s">
        <v>71</v>
      </c>
      <c r="BB25" t="s">
        <v>74</v>
      </c>
      <c r="BC25" t="s">
        <v>71</v>
      </c>
      <c r="BD25" t="s">
        <v>71</v>
      </c>
      <c r="BE25" t="s">
        <v>74</v>
      </c>
      <c r="BF25" t="s">
        <v>71</v>
      </c>
      <c r="BG25" t="s">
        <v>74</v>
      </c>
      <c r="BH25" t="s">
        <v>74</v>
      </c>
      <c r="BI25" t="s">
        <v>74</v>
      </c>
    </row>
    <row r="26" spans="1:61" x14ac:dyDescent="0.3">
      <c r="A26">
        <v>25</v>
      </c>
      <c r="B26" s="1">
        <v>45961.505590277775</v>
      </c>
      <c r="C26" s="1">
        <v>45961.509189814817</v>
      </c>
      <c r="D26" t="s">
        <v>61</v>
      </c>
      <c r="F26" t="s">
        <v>84</v>
      </c>
      <c r="G26" t="s">
        <v>63</v>
      </c>
      <c r="H26" t="s">
        <v>76</v>
      </c>
      <c r="I26" t="s">
        <v>92</v>
      </c>
      <c r="J26" t="s">
        <v>82</v>
      </c>
      <c r="K26" t="s">
        <v>66</v>
      </c>
      <c r="L26" t="s">
        <v>89</v>
      </c>
      <c r="M26" t="s">
        <v>96</v>
      </c>
      <c r="N26" t="s">
        <v>91</v>
      </c>
      <c r="O26" t="s">
        <v>71</v>
      </c>
      <c r="P26" t="s">
        <v>71</v>
      </c>
      <c r="Q26" t="s">
        <v>71</v>
      </c>
      <c r="R26" t="s">
        <v>68</v>
      </c>
      <c r="S26" t="s">
        <v>71</v>
      </c>
      <c r="T26" t="s">
        <v>71</v>
      </c>
      <c r="U26" t="s">
        <v>68</v>
      </c>
      <c r="V26" t="s">
        <v>71</v>
      </c>
      <c r="W26" t="s">
        <v>71</v>
      </c>
      <c r="X26" t="s">
        <v>71</v>
      </c>
      <c r="Y26" t="s">
        <v>71</v>
      </c>
      <c r="Z26" t="s">
        <v>68</v>
      </c>
      <c r="AA26" t="s">
        <v>68</v>
      </c>
      <c r="AB26" t="s">
        <v>71</v>
      </c>
      <c r="AC26" t="s">
        <v>68</v>
      </c>
      <c r="AD26" t="s">
        <v>68</v>
      </c>
      <c r="AE26" t="s">
        <v>68</v>
      </c>
      <c r="AF26" t="s">
        <v>71</v>
      </c>
      <c r="AG26" t="s">
        <v>71</v>
      </c>
      <c r="AH26" t="s">
        <v>71</v>
      </c>
      <c r="AI26" t="s">
        <v>71</v>
      </c>
      <c r="AJ26" t="s">
        <v>71</v>
      </c>
      <c r="AK26" t="s">
        <v>71</v>
      </c>
      <c r="AL26" t="s">
        <v>74</v>
      </c>
      <c r="AM26" t="s">
        <v>74</v>
      </c>
      <c r="AN26" t="s">
        <v>68</v>
      </c>
      <c r="AO26" t="s">
        <v>68</v>
      </c>
      <c r="AP26" t="s">
        <v>74</v>
      </c>
      <c r="AQ26" t="s">
        <v>68</v>
      </c>
      <c r="AR26" t="s">
        <v>68</v>
      </c>
      <c r="AS26" t="s">
        <v>68</v>
      </c>
      <c r="AT26" t="s">
        <v>71</v>
      </c>
      <c r="AU26" t="s">
        <v>71</v>
      </c>
      <c r="AV26" t="s">
        <v>71</v>
      </c>
      <c r="AW26" t="s">
        <v>71</v>
      </c>
      <c r="AX26" t="s">
        <v>71</v>
      </c>
      <c r="AY26" t="s">
        <v>71</v>
      </c>
      <c r="AZ26" t="s">
        <v>71</v>
      </c>
      <c r="BA26" t="s">
        <v>71</v>
      </c>
      <c r="BB26" t="s">
        <v>68</v>
      </c>
      <c r="BC26" t="s">
        <v>74</v>
      </c>
      <c r="BD26" t="s">
        <v>71</v>
      </c>
      <c r="BE26" t="s">
        <v>71</v>
      </c>
      <c r="BF26" t="s">
        <v>71</v>
      </c>
      <c r="BG26" t="s">
        <v>71</v>
      </c>
      <c r="BH26" t="s">
        <v>71</v>
      </c>
      <c r="BI26" t="s">
        <v>71</v>
      </c>
    </row>
    <row r="27" spans="1:61" x14ac:dyDescent="0.3">
      <c r="A27">
        <v>26</v>
      </c>
      <c r="B27" s="1">
        <v>45979.602280092593</v>
      </c>
      <c r="C27" s="1">
        <v>45979.604768518519</v>
      </c>
      <c r="D27" t="s">
        <v>61</v>
      </c>
      <c r="F27" t="s">
        <v>75</v>
      </c>
      <c r="G27" t="s">
        <v>87</v>
      </c>
      <c r="H27" t="s">
        <v>76</v>
      </c>
      <c r="I27" t="s">
        <v>77</v>
      </c>
      <c r="J27" t="s">
        <v>78</v>
      </c>
      <c r="K27" t="s">
        <v>66</v>
      </c>
      <c r="L27" t="s">
        <v>67</v>
      </c>
      <c r="M27" t="s">
        <v>112</v>
      </c>
      <c r="N27" t="s">
        <v>91</v>
      </c>
      <c r="O27" t="s">
        <v>69</v>
      </c>
      <c r="P27" t="s">
        <v>74</v>
      </c>
      <c r="Q27" t="s">
        <v>68</v>
      </c>
      <c r="R27" t="s">
        <v>70</v>
      </c>
      <c r="S27" t="s">
        <v>71</v>
      </c>
      <c r="T27" t="s">
        <v>68</v>
      </c>
      <c r="U27" t="s">
        <v>71</v>
      </c>
      <c r="V27" t="s">
        <v>70</v>
      </c>
      <c r="W27" t="s">
        <v>71</v>
      </c>
      <c r="X27" t="s">
        <v>72</v>
      </c>
      <c r="Y27" t="s">
        <v>72</v>
      </c>
      <c r="Z27" t="s">
        <v>71</v>
      </c>
      <c r="AA27" t="s">
        <v>68</v>
      </c>
      <c r="AB27" t="s">
        <v>69</v>
      </c>
      <c r="AC27" t="s">
        <v>72</v>
      </c>
      <c r="AD27" t="s">
        <v>72</v>
      </c>
      <c r="AE27" t="s">
        <v>71</v>
      </c>
      <c r="AF27" t="s">
        <v>74</v>
      </c>
      <c r="AG27" t="s">
        <v>68</v>
      </c>
      <c r="AH27" t="s">
        <v>68</v>
      </c>
      <c r="AI27" t="s">
        <v>68</v>
      </c>
      <c r="AJ27" t="s">
        <v>71</v>
      </c>
      <c r="AK27" t="s">
        <v>74</v>
      </c>
      <c r="AL27" t="s">
        <v>68</v>
      </c>
      <c r="AM27" t="s">
        <v>74</v>
      </c>
      <c r="AN27" t="s">
        <v>72</v>
      </c>
      <c r="AO27" t="s">
        <v>68</v>
      </c>
      <c r="AP27" t="s">
        <v>74</v>
      </c>
      <c r="AQ27" t="s">
        <v>72</v>
      </c>
      <c r="AR27" t="s">
        <v>72</v>
      </c>
      <c r="AS27" t="s">
        <v>72</v>
      </c>
      <c r="AT27" t="s">
        <v>72</v>
      </c>
      <c r="AU27" t="s">
        <v>71</v>
      </c>
      <c r="AV27" t="s">
        <v>68</v>
      </c>
      <c r="AW27" t="s">
        <v>71</v>
      </c>
      <c r="AX27" t="s">
        <v>74</v>
      </c>
      <c r="AY27" t="s">
        <v>74</v>
      </c>
      <c r="AZ27" t="s">
        <v>68</v>
      </c>
      <c r="BA27" t="s">
        <v>71</v>
      </c>
      <c r="BB27" t="s">
        <v>71</v>
      </c>
      <c r="BC27" t="s">
        <v>74</v>
      </c>
      <c r="BD27" t="s">
        <v>74</v>
      </c>
      <c r="BE27" t="s">
        <v>71</v>
      </c>
      <c r="BF27" t="s">
        <v>71</v>
      </c>
      <c r="BG27" t="s">
        <v>71</v>
      </c>
      <c r="BH27" t="s">
        <v>74</v>
      </c>
      <c r="BI27" t="s">
        <v>72</v>
      </c>
    </row>
    <row r="28" spans="1:61" x14ac:dyDescent="0.3">
      <c r="A28">
        <v>27</v>
      </c>
      <c r="B28" s="1">
        <v>45980.056805555556</v>
      </c>
      <c r="C28" s="1">
        <v>45980.059537037036</v>
      </c>
      <c r="D28" t="s">
        <v>61</v>
      </c>
      <c r="F28" t="s">
        <v>84</v>
      </c>
      <c r="G28" t="s">
        <v>63</v>
      </c>
      <c r="H28" t="s">
        <v>80</v>
      </c>
      <c r="I28" t="s">
        <v>92</v>
      </c>
      <c r="J28" t="s">
        <v>82</v>
      </c>
      <c r="K28" t="s">
        <v>66</v>
      </c>
      <c r="L28" t="s">
        <v>89</v>
      </c>
      <c r="M28" t="s">
        <v>94</v>
      </c>
      <c r="N28" t="s">
        <v>91</v>
      </c>
      <c r="O28" t="s">
        <v>74</v>
      </c>
      <c r="P28" t="s">
        <v>74</v>
      </c>
      <c r="Q28" t="s">
        <v>68</v>
      </c>
      <c r="R28" t="s">
        <v>70</v>
      </c>
      <c r="S28" t="s">
        <v>70</v>
      </c>
      <c r="T28" t="s">
        <v>71</v>
      </c>
      <c r="U28" t="s">
        <v>71</v>
      </c>
      <c r="V28" t="s">
        <v>71</v>
      </c>
      <c r="W28" t="s">
        <v>70</v>
      </c>
      <c r="X28" t="s">
        <v>72</v>
      </c>
      <c r="Y28" t="s">
        <v>72</v>
      </c>
      <c r="Z28" t="s">
        <v>72</v>
      </c>
      <c r="AA28" t="s">
        <v>72</v>
      </c>
      <c r="AB28" t="s">
        <v>71</v>
      </c>
      <c r="AC28" t="s">
        <v>72</v>
      </c>
      <c r="AD28" t="s">
        <v>72</v>
      </c>
      <c r="AE28" t="s">
        <v>68</v>
      </c>
      <c r="AF28" t="s">
        <v>68</v>
      </c>
      <c r="AG28" t="s">
        <v>68</v>
      </c>
      <c r="AH28" t="s">
        <v>68</v>
      </c>
      <c r="AI28" t="s">
        <v>71</v>
      </c>
      <c r="AJ28" t="s">
        <v>68</v>
      </c>
      <c r="AK28" t="s">
        <v>72</v>
      </c>
      <c r="AL28" t="s">
        <v>71</v>
      </c>
      <c r="AM28" t="s">
        <v>71</v>
      </c>
      <c r="AN28" t="s">
        <v>71</v>
      </c>
      <c r="AO28" t="s">
        <v>71</v>
      </c>
      <c r="AP28" t="s">
        <v>68</v>
      </c>
      <c r="AQ28" t="s">
        <v>68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X28" t="s">
        <v>74</v>
      </c>
      <c r="AY28" t="s">
        <v>68</v>
      </c>
      <c r="AZ28" t="s">
        <v>74</v>
      </c>
      <c r="BA28" t="s">
        <v>71</v>
      </c>
      <c r="BB28" t="s">
        <v>68</v>
      </c>
      <c r="BC28" t="s">
        <v>74</v>
      </c>
      <c r="BD28" t="s">
        <v>74</v>
      </c>
      <c r="BE28" t="s">
        <v>68</v>
      </c>
      <c r="BF28" t="s">
        <v>74</v>
      </c>
      <c r="BG28" t="s">
        <v>74</v>
      </c>
      <c r="BH28" t="s">
        <v>74</v>
      </c>
      <c r="BI28" t="s">
        <v>74</v>
      </c>
    </row>
    <row r="29" spans="1:61" x14ac:dyDescent="0.3">
      <c r="A29">
        <v>28</v>
      </c>
      <c r="B29" s="1">
        <v>45981.483229166668</v>
      </c>
      <c r="C29" s="1">
        <v>45981.489432870374</v>
      </c>
      <c r="D29" t="s">
        <v>61</v>
      </c>
      <c r="F29" t="s">
        <v>75</v>
      </c>
      <c r="G29" t="s">
        <v>87</v>
      </c>
      <c r="H29" t="s">
        <v>80</v>
      </c>
      <c r="I29" t="s">
        <v>81</v>
      </c>
      <c r="J29" t="s">
        <v>82</v>
      </c>
      <c r="K29" t="s">
        <v>66</v>
      </c>
      <c r="L29" t="s">
        <v>89</v>
      </c>
      <c r="M29" t="s">
        <v>113</v>
      </c>
      <c r="N29" t="s">
        <v>91</v>
      </c>
      <c r="O29" t="s">
        <v>71</v>
      </c>
      <c r="P29" t="s">
        <v>71</v>
      </c>
      <c r="Q29" t="s">
        <v>68</v>
      </c>
      <c r="R29" t="s">
        <v>70</v>
      </c>
      <c r="S29" t="s">
        <v>68</v>
      </c>
      <c r="T29" t="s">
        <v>68</v>
      </c>
      <c r="U29" t="s">
        <v>68</v>
      </c>
      <c r="V29" t="s">
        <v>71</v>
      </c>
      <c r="W29" t="s">
        <v>71</v>
      </c>
      <c r="X29" t="s">
        <v>71</v>
      </c>
      <c r="Y29" t="s">
        <v>74</v>
      </c>
      <c r="Z29" t="s">
        <v>71</v>
      </c>
      <c r="AA29" t="s">
        <v>74</v>
      </c>
      <c r="AB29" t="s">
        <v>74</v>
      </c>
      <c r="AC29" t="s">
        <v>68</v>
      </c>
      <c r="AD29" t="s">
        <v>71</v>
      </c>
      <c r="AE29" t="s">
        <v>71</v>
      </c>
      <c r="AF29" t="s">
        <v>71</v>
      </c>
      <c r="AG29" t="s">
        <v>74</v>
      </c>
      <c r="AH29" t="s">
        <v>71</v>
      </c>
      <c r="AI29" t="s">
        <v>71</v>
      </c>
      <c r="AJ29" t="s">
        <v>71</v>
      </c>
      <c r="AK29" t="s">
        <v>71</v>
      </c>
      <c r="AL29" t="s">
        <v>74</v>
      </c>
      <c r="AM29" t="s">
        <v>74</v>
      </c>
      <c r="AN29" t="s">
        <v>68</v>
      </c>
      <c r="AO29" t="s">
        <v>68</v>
      </c>
      <c r="AP29" t="s">
        <v>71</v>
      </c>
      <c r="AQ29" t="s">
        <v>68</v>
      </c>
      <c r="AR29" t="s">
        <v>68</v>
      </c>
      <c r="AS29" t="s">
        <v>68</v>
      </c>
      <c r="AT29" t="s">
        <v>68</v>
      </c>
      <c r="AU29" t="s">
        <v>71</v>
      </c>
      <c r="AV29" t="s">
        <v>71</v>
      </c>
      <c r="AW29" t="s">
        <v>71</v>
      </c>
      <c r="AX29" t="s">
        <v>71</v>
      </c>
      <c r="AY29" t="s">
        <v>74</v>
      </c>
      <c r="AZ29" t="s">
        <v>74</v>
      </c>
      <c r="BA29" t="s">
        <v>71</v>
      </c>
      <c r="BB29" t="s">
        <v>74</v>
      </c>
      <c r="BC29" t="s">
        <v>71</v>
      </c>
      <c r="BD29" t="s">
        <v>68</v>
      </c>
      <c r="BE29" t="s">
        <v>68</v>
      </c>
      <c r="BF29" t="s">
        <v>71</v>
      </c>
      <c r="BG29" t="s">
        <v>71</v>
      </c>
      <c r="BH29" t="s">
        <v>71</v>
      </c>
      <c r="BI29" t="s">
        <v>71</v>
      </c>
    </row>
    <row r="30" spans="1:61" x14ac:dyDescent="0.3">
      <c r="A30">
        <v>29</v>
      </c>
      <c r="B30" s="1">
        <v>45982.553761574076</v>
      </c>
      <c r="C30" s="1">
        <v>45982.555787037039</v>
      </c>
      <c r="D30" t="s">
        <v>61</v>
      </c>
      <c r="F30" t="s">
        <v>95</v>
      </c>
      <c r="G30" t="s">
        <v>63</v>
      </c>
      <c r="H30" t="s">
        <v>97</v>
      </c>
      <c r="I30" t="s">
        <v>85</v>
      </c>
      <c r="J30" t="s">
        <v>104</v>
      </c>
      <c r="K30" t="s">
        <v>66</v>
      </c>
      <c r="L30" t="s">
        <v>67</v>
      </c>
      <c r="M30" t="s">
        <v>96</v>
      </c>
      <c r="N30" t="s">
        <v>99</v>
      </c>
      <c r="O30" t="s">
        <v>69</v>
      </c>
      <c r="P30" t="s">
        <v>69</v>
      </c>
      <c r="Q30" t="s">
        <v>71</v>
      </c>
      <c r="R30" t="s">
        <v>68</v>
      </c>
      <c r="S30" t="s">
        <v>71</v>
      </c>
      <c r="T30" t="s">
        <v>71</v>
      </c>
      <c r="U30" t="s">
        <v>71</v>
      </c>
      <c r="V30" t="s">
        <v>71</v>
      </c>
      <c r="W30" t="s">
        <v>71</v>
      </c>
      <c r="X30" t="s">
        <v>68</v>
      </c>
      <c r="Y30" t="s">
        <v>68</v>
      </c>
      <c r="Z30" t="s">
        <v>71</v>
      </c>
      <c r="AA30" t="s">
        <v>68</v>
      </c>
      <c r="AB30" t="s">
        <v>74</v>
      </c>
      <c r="AC30" t="s">
        <v>68</v>
      </c>
      <c r="AD30" t="s">
        <v>68</v>
      </c>
      <c r="AE30" t="s">
        <v>71</v>
      </c>
      <c r="AF30" t="s">
        <v>71</v>
      </c>
      <c r="AG30" t="s">
        <v>68</v>
      </c>
      <c r="AH30" t="s">
        <v>71</v>
      </c>
      <c r="AI30" t="s">
        <v>68</v>
      </c>
      <c r="AJ30" t="s">
        <v>68</v>
      </c>
      <c r="AK30" t="s">
        <v>68</v>
      </c>
      <c r="AL30" t="s">
        <v>74</v>
      </c>
      <c r="AM30" t="s">
        <v>74</v>
      </c>
      <c r="AN30" t="s">
        <v>68</v>
      </c>
      <c r="AO30" t="s">
        <v>68</v>
      </c>
      <c r="AP30" t="s">
        <v>71</v>
      </c>
      <c r="AQ30" t="s">
        <v>68</v>
      </c>
      <c r="AR30" t="s">
        <v>68</v>
      </c>
      <c r="AS30" t="s">
        <v>68</v>
      </c>
      <c r="AT30" t="s">
        <v>68</v>
      </c>
      <c r="AU30" t="s">
        <v>68</v>
      </c>
      <c r="AV30" t="s">
        <v>68</v>
      </c>
      <c r="AW30" t="s">
        <v>68</v>
      </c>
      <c r="AX30" t="s">
        <v>74</v>
      </c>
      <c r="AY30" t="s">
        <v>74</v>
      </c>
      <c r="AZ30" t="s">
        <v>74</v>
      </c>
      <c r="BA30" t="s">
        <v>71</v>
      </c>
      <c r="BB30" t="s">
        <v>71</v>
      </c>
      <c r="BC30" t="s">
        <v>68</v>
      </c>
      <c r="BD30" t="s">
        <v>71</v>
      </c>
      <c r="BE30" t="s">
        <v>71</v>
      </c>
      <c r="BF30" t="s">
        <v>71</v>
      </c>
      <c r="BG30" t="s">
        <v>68</v>
      </c>
      <c r="BH30" t="s">
        <v>71</v>
      </c>
      <c r="BI30" t="s">
        <v>68</v>
      </c>
    </row>
    <row r="31" spans="1:61" x14ac:dyDescent="0.3">
      <c r="A31">
        <v>30</v>
      </c>
      <c r="B31" s="1">
        <v>45984.504699074074</v>
      </c>
      <c r="C31" s="1">
        <v>45984.511446759258</v>
      </c>
      <c r="D31" t="s">
        <v>61</v>
      </c>
      <c r="F31" t="s">
        <v>75</v>
      </c>
      <c r="G31" t="s">
        <v>63</v>
      </c>
      <c r="H31" t="s">
        <v>80</v>
      </c>
      <c r="I31" t="s">
        <v>77</v>
      </c>
      <c r="J31" t="s">
        <v>82</v>
      </c>
      <c r="K31" t="s">
        <v>66</v>
      </c>
      <c r="L31" t="s">
        <v>67</v>
      </c>
      <c r="M31" t="s">
        <v>96</v>
      </c>
      <c r="N31" t="s">
        <v>91</v>
      </c>
      <c r="O31" t="s">
        <v>69</v>
      </c>
      <c r="P31" t="s">
        <v>69</v>
      </c>
      <c r="Q31" t="s">
        <v>71</v>
      </c>
      <c r="R31" t="s">
        <v>71</v>
      </c>
      <c r="S31" t="s">
        <v>71</v>
      </c>
      <c r="T31" t="s">
        <v>71</v>
      </c>
      <c r="U31" t="s">
        <v>71</v>
      </c>
      <c r="V31" t="s">
        <v>71</v>
      </c>
      <c r="W31" t="s">
        <v>71</v>
      </c>
      <c r="X31" t="s">
        <v>71</v>
      </c>
      <c r="Y31" t="s">
        <v>71</v>
      </c>
      <c r="Z31" t="s">
        <v>68</v>
      </c>
      <c r="AA31" t="s">
        <v>71</v>
      </c>
      <c r="AB31" t="s">
        <v>74</v>
      </c>
      <c r="AC31" t="s">
        <v>68</v>
      </c>
      <c r="AD31" t="s">
        <v>68</v>
      </c>
      <c r="AE31" t="s">
        <v>71</v>
      </c>
      <c r="AF31" t="s">
        <v>71</v>
      </c>
      <c r="AG31" t="s">
        <v>71</v>
      </c>
      <c r="AH31" t="s">
        <v>68</v>
      </c>
      <c r="AI31" t="s">
        <v>68</v>
      </c>
      <c r="AJ31" t="s">
        <v>68</v>
      </c>
      <c r="AK31" t="s">
        <v>68</v>
      </c>
      <c r="AL31" t="s">
        <v>68</v>
      </c>
      <c r="AM31" t="s">
        <v>68</v>
      </c>
      <c r="AN31" t="s">
        <v>68</v>
      </c>
      <c r="AO31" t="s">
        <v>68</v>
      </c>
      <c r="AP31" t="s">
        <v>68</v>
      </c>
      <c r="AQ31" t="s">
        <v>72</v>
      </c>
      <c r="AR31" t="s">
        <v>68</v>
      </c>
      <c r="AS31" t="s">
        <v>68</v>
      </c>
      <c r="AT31" t="s">
        <v>68</v>
      </c>
      <c r="AV31" t="s">
        <v>68</v>
      </c>
      <c r="AW31" t="s">
        <v>68</v>
      </c>
      <c r="AX31" t="s">
        <v>74</v>
      </c>
      <c r="AY31" t="s">
        <v>68</v>
      </c>
      <c r="AZ31" t="s">
        <v>71</v>
      </c>
      <c r="BA31" t="s">
        <v>71</v>
      </c>
      <c r="BB31" t="s">
        <v>68</v>
      </c>
      <c r="BC31" t="s">
        <v>74</v>
      </c>
      <c r="BD31" t="s">
        <v>71</v>
      </c>
      <c r="BE31" t="s">
        <v>71</v>
      </c>
      <c r="BF31" t="s">
        <v>71</v>
      </c>
      <c r="BG31" t="s">
        <v>71</v>
      </c>
      <c r="BH31" t="s">
        <v>71</v>
      </c>
      <c r="BI31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1259-71C7-4620-B2B7-7EA4BCE80DC4}">
  <dimension ref="A3:K7"/>
  <sheetViews>
    <sheetView zoomScale="70" workbookViewId="0">
      <selection activeCell="I9" sqref="I9"/>
    </sheetView>
  </sheetViews>
  <sheetFormatPr defaultRowHeight="14.4" x14ac:dyDescent="0.3"/>
  <cols>
    <col min="1" max="1" width="14.6640625" bestFit="1" customWidth="1"/>
    <col min="2" max="10" width="13.77734375" bestFit="1" customWidth="1"/>
    <col min="11" max="11" width="14" bestFit="1" customWidth="1"/>
  </cols>
  <sheetData>
    <row r="3" spans="1:11" x14ac:dyDescent="0.3">
      <c r="A3" s="2" t="s">
        <v>114</v>
      </c>
      <c r="B3" t="s">
        <v>164</v>
      </c>
      <c r="C3" t="s">
        <v>163</v>
      </c>
      <c r="D3" t="s">
        <v>162</v>
      </c>
      <c r="E3" t="s">
        <v>161</v>
      </c>
      <c r="F3" t="s">
        <v>160</v>
      </c>
      <c r="G3" t="s">
        <v>159</v>
      </c>
      <c r="H3" t="s">
        <v>158</v>
      </c>
      <c r="I3" t="s">
        <v>157</v>
      </c>
      <c r="J3" t="s">
        <v>171</v>
      </c>
      <c r="K3" t="s">
        <v>165</v>
      </c>
    </row>
    <row r="4" spans="1:11" x14ac:dyDescent="0.3">
      <c r="A4" s="3" t="s">
        <v>66</v>
      </c>
      <c r="B4" s="5">
        <v>2.6033333333333335</v>
      </c>
      <c r="C4" s="5">
        <v>3.14</v>
      </c>
      <c r="D4" s="5">
        <v>3.6584029629629633</v>
      </c>
      <c r="E4" s="5">
        <v>3.1720148148148151</v>
      </c>
      <c r="F4" s="5">
        <v>3.1000740740740742</v>
      </c>
      <c r="G4" s="5">
        <v>3.240444444444444</v>
      </c>
      <c r="H4" s="5">
        <v>2.9866666666666668</v>
      </c>
      <c r="I4" s="5">
        <v>3.1280000000000001</v>
      </c>
      <c r="J4" s="5">
        <v>3.1759999999999997</v>
      </c>
      <c r="K4" s="5">
        <v>2.8138888888888891</v>
      </c>
    </row>
    <row r="5" spans="1:11" x14ac:dyDescent="0.3">
      <c r="A5" s="3" t="s">
        <v>100</v>
      </c>
      <c r="B5" s="5">
        <v>3.4</v>
      </c>
      <c r="C5" s="5">
        <v>3.7333333333333329</v>
      </c>
      <c r="D5" s="5">
        <v>4.1762716049382718</v>
      </c>
      <c r="E5" s="5">
        <v>3.8813580246913575</v>
      </c>
      <c r="F5" s="5">
        <v>3.7401234567901231</v>
      </c>
      <c r="G5" s="5">
        <v>4.1074074074074076</v>
      </c>
      <c r="H5" s="5">
        <v>3.9777777777777779</v>
      </c>
      <c r="I5" s="5">
        <v>3.5333333333333332</v>
      </c>
      <c r="J5" s="5">
        <v>3.9333333333333336</v>
      </c>
      <c r="K5" s="5">
        <v>3.7888888888888892</v>
      </c>
    </row>
    <row r="6" spans="1:11" x14ac:dyDescent="0.3">
      <c r="A6" s="3" t="s">
        <v>79</v>
      </c>
      <c r="B6" s="5">
        <v>1.4</v>
      </c>
      <c r="C6" s="5">
        <v>2.4</v>
      </c>
      <c r="D6" s="5">
        <v>3.7888888888888888</v>
      </c>
      <c r="E6" s="5">
        <v>2.9444444444444446</v>
      </c>
      <c r="F6" s="5">
        <v>1.7222222222222223</v>
      </c>
      <c r="G6" s="5">
        <v>2.3333333333333335</v>
      </c>
      <c r="H6" s="5">
        <v>2</v>
      </c>
      <c r="I6" s="5">
        <v>2</v>
      </c>
      <c r="J6" s="5">
        <v>1.8</v>
      </c>
      <c r="K6" s="5">
        <v>1.2333333333333334</v>
      </c>
    </row>
    <row r="7" spans="1:11" x14ac:dyDescent="0.3">
      <c r="A7" s="3" t="s">
        <v>115</v>
      </c>
      <c r="B7" s="30">
        <v>2.6442528735632189</v>
      </c>
      <c r="C7" s="30">
        <v>3.1758620689655177</v>
      </c>
      <c r="D7" s="30">
        <v>3.7164750957854413</v>
      </c>
      <c r="E7" s="30">
        <v>3.2375478927203063</v>
      </c>
      <c r="F7" s="30">
        <v>3.1187739463601534</v>
      </c>
      <c r="G7" s="30">
        <v>3.2988505747126435</v>
      </c>
      <c r="H7" s="30">
        <v>3.0551724137931036</v>
      </c>
      <c r="I7" s="30">
        <v>3.1310344827586212</v>
      </c>
      <c r="J7" s="30">
        <v>3.2068965517241375</v>
      </c>
      <c r="K7" s="30">
        <v>2.8602490421455942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4D2A-682A-4FB9-9250-FCABB5781049}">
  <dimension ref="A1:BS49"/>
  <sheetViews>
    <sheetView zoomScale="49" workbookViewId="0">
      <selection activeCell="I38" sqref="I38:K38"/>
    </sheetView>
  </sheetViews>
  <sheetFormatPr defaultRowHeight="14.4" x14ac:dyDescent="0.3"/>
  <cols>
    <col min="1" max="1" width="8.6640625" bestFit="1" customWidth="1"/>
    <col min="2" max="2" width="17.88671875" bestFit="1" customWidth="1"/>
    <col min="3" max="3" width="26.109375" bestFit="1" customWidth="1"/>
    <col min="4" max="4" width="12.88671875" bestFit="1" customWidth="1"/>
    <col min="5" max="5" width="13.109375" bestFit="1" customWidth="1"/>
    <col min="6" max="6" width="27.6640625" bestFit="1" customWidth="1"/>
    <col min="7" max="7" width="31.109375" bestFit="1" customWidth="1"/>
    <col min="8" max="8" width="80.88671875" bestFit="1" customWidth="1"/>
    <col min="9" max="9" width="46.21875" bestFit="1" customWidth="1"/>
    <col min="10" max="10" width="40.109375" bestFit="1" customWidth="1"/>
    <col min="11" max="11" width="48.109375" bestFit="1" customWidth="1"/>
    <col min="12" max="12" width="80.21875" bestFit="1" customWidth="1"/>
    <col min="13" max="13" width="80.88671875" bestFit="1" customWidth="1"/>
    <col min="14" max="14" width="43.109375" bestFit="1" customWidth="1"/>
    <col min="15" max="15" width="74.5546875" bestFit="1" customWidth="1"/>
    <col min="16" max="18" width="80.88671875" bestFit="1" customWidth="1"/>
    <col min="19" max="19" width="71.6640625" bestFit="1" customWidth="1"/>
    <col min="20" max="20" width="77.33203125" bestFit="1" customWidth="1"/>
    <col min="21" max="21" width="54.6640625" bestFit="1" customWidth="1"/>
    <col min="22" max="22" width="60.109375" bestFit="1" customWidth="1"/>
    <col min="23" max="23" width="80.88671875" bestFit="1" customWidth="1"/>
    <col min="24" max="24" width="66" bestFit="1" customWidth="1"/>
    <col min="25" max="25" width="80.88671875" bestFit="1" customWidth="1"/>
    <col min="26" max="26" width="69.109375" bestFit="1" customWidth="1"/>
    <col min="27" max="28" width="80.88671875" bestFit="1" customWidth="1"/>
    <col min="29" max="29" width="72.77734375" bestFit="1" customWidth="1"/>
    <col min="30" max="31" width="80.88671875" bestFit="1" customWidth="1"/>
    <col min="32" max="32" width="75.77734375" bestFit="1" customWidth="1"/>
    <col min="33" max="33" width="78.44140625" bestFit="1" customWidth="1"/>
    <col min="34" max="50" width="80.88671875" bestFit="1" customWidth="1"/>
    <col min="51" max="51" width="32.44140625" bestFit="1" customWidth="1"/>
    <col min="52" max="52" width="79.33203125" bestFit="1" customWidth="1"/>
    <col min="53" max="53" width="80.88671875" bestFit="1" customWidth="1"/>
    <col min="54" max="54" width="68" bestFit="1" customWidth="1"/>
    <col min="55" max="55" width="28.5546875" bestFit="1" customWidth="1"/>
    <col min="56" max="56" width="26.77734375" bestFit="1" customWidth="1"/>
    <col min="57" max="61" width="80.88671875" bestFit="1" customWidth="1"/>
    <col min="62" max="62" width="19.44140625" bestFit="1" customWidth="1"/>
    <col min="63" max="63" width="27" bestFit="1" customWidth="1"/>
    <col min="64" max="64" width="18.5546875" bestFit="1" customWidth="1"/>
    <col min="65" max="65" width="28.109375" bestFit="1" customWidth="1"/>
    <col min="66" max="66" width="26.5546875" bestFit="1" customWidth="1"/>
    <col min="67" max="67" width="27.88671875" bestFit="1" customWidth="1"/>
    <col min="68" max="68" width="19.44140625" bestFit="1" customWidth="1"/>
    <col min="69" max="69" width="23.33203125" bestFit="1" customWidth="1"/>
    <col min="70" max="70" width="22.44140625" bestFit="1" customWidth="1"/>
    <col min="71" max="71" width="31.5546875" bestFit="1" customWidth="1"/>
    <col min="72" max="72" width="18.44140625" bestFit="1" customWidth="1"/>
    <col min="73" max="73" width="20.21875" bestFit="1" customWidth="1"/>
    <col min="74" max="74" width="22.21875" bestFit="1" customWidth="1"/>
  </cols>
  <sheetData>
    <row r="1" spans="1: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50</v>
      </c>
      <c r="AY1" t="s">
        <v>177</v>
      </c>
      <c r="AZ1" t="s">
        <v>51</v>
      </c>
      <c r="BA1" t="s">
        <v>52</v>
      </c>
      <c r="BB1" t="s">
        <v>53</v>
      </c>
      <c r="BC1" t="s">
        <v>176</v>
      </c>
      <c r="BD1" t="s">
        <v>175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178</v>
      </c>
      <c r="BK1" t="s">
        <v>179</v>
      </c>
      <c r="BL1" t="s">
        <v>180</v>
      </c>
      <c r="BM1" t="s">
        <v>181</v>
      </c>
      <c r="BN1" t="s">
        <v>182</v>
      </c>
      <c r="BO1" t="s">
        <v>183</v>
      </c>
      <c r="BP1" t="s">
        <v>184</v>
      </c>
      <c r="BQ1" t="s">
        <v>185</v>
      </c>
      <c r="BR1" t="s">
        <v>186</v>
      </c>
      <c r="BS1" t="s">
        <v>187</v>
      </c>
    </row>
    <row r="2" spans="1:71" x14ac:dyDescent="0.3">
      <c r="A2">
        <v>1</v>
      </c>
      <c r="B2">
        <v>45907.67596064815</v>
      </c>
      <c r="C2">
        <v>45907.688657407409</v>
      </c>
      <c r="D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65</v>
      </c>
      <c r="K2" t="s">
        <v>66</v>
      </c>
      <c r="L2" t="s">
        <v>67</v>
      </c>
      <c r="O2">
        <v>4</v>
      </c>
      <c r="P2">
        <v>1</v>
      </c>
      <c r="Q2">
        <v>5</v>
      </c>
      <c r="R2">
        <v>5</v>
      </c>
      <c r="S2">
        <v>5</v>
      </c>
      <c r="T2">
        <v>3</v>
      </c>
      <c r="U2">
        <v>5</v>
      </c>
      <c r="V2">
        <v>5</v>
      </c>
      <c r="W2">
        <v>3</v>
      </c>
      <c r="X2">
        <v>3</v>
      </c>
      <c r="Y2">
        <v>3</v>
      </c>
      <c r="Z2">
        <v>4</v>
      </c>
      <c r="AA2">
        <v>5</v>
      </c>
      <c r="AB2">
        <v>1</v>
      </c>
      <c r="AC2">
        <v>5</v>
      </c>
      <c r="AD2">
        <v>5</v>
      </c>
      <c r="AE2">
        <v>3</v>
      </c>
      <c r="AF2">
        <v>4</v>
      </c>
      <c r="AG2">
        <v>4</v>
      </c>
      <c r="AH2">
        <v>4</v>
      </c>
      <c r="AI2">
        <v>5</v>
      </c>
      <c r="AJ2">
        <v>4</v>
      </c>
      <c r="AK2">
        <v>4</v>
      </c>
      <c r="AL2">
        <v>3</v>
      </c>
      <c r="AM2">
        <v>1</v>
      </c>
      <c r="AN2">
        <v>4</v>
      </c>
      <c r="AO2">
        <v>4</v>
      </c>
      <c r="AP2">
        <v>1</v>
      </c>
      <c r="AQ2">
        <v>5</v>
      </c>
      <c r="AR2">
        <v>4</v>
      </c>
      <c r="AS2">
        <v>5</v>
      </c>
      <c r="AT2">
        <v>4</v>
      </c>
      <c r="AU2">
        <v>4</v>
      </c>
      <c r="AV2">
        <v>5</v>
      </c>
      <c r="AW2">
        <v>4</v>
      </c>
      <c r="AX2">
        <v>4</v>
      </c>
      <c r="AY2">
        <v>4</v>
      </c>
      <c r="AZ2">
        <v>1</v>
      </c>
      <c r="BA2">
        <v>1</v>
      </c>
      <c r="BB2">
        <v>3</v>
      </c>
      <c r="BC2">
        <v>1</v>
      </c>
      <c r="BD2">
        <v>1</v>
      </c>
      <c r="BE2">
        <v>3</v>
      </c>
      <c r="BF2">
        <v>1</v>
      </c>
      <c r="BG2">
        <v>1</v>
      </c>
      <c r="BH2">
        <v>1</v>
      </c>
      <c r="BI2">
        <v>3</v>
      </c>
      <c r="BJ2">
        <v>4</v>
      </c>
      <c r="BK2">
        <v>4</v>
      </c>
      <c r="BL2">
        <v>3.3333333333333335</v>
      </c>
      <c r="BM2">
        <v>4.0555555555555554</v>
      </c>
      <c r="BN2">
        <v>4.0092592592592595</v>
      </c>
      <c r="BO2">
        <v>2.8018518518518518</v>
      </c>
      <c r="BP2">
        <v>4.1603703703703703</v>
      </c>
      <c r="BQ2">
        <v>4.2</v>
      </c>
      <c r="BR2">
        <v>1.8666666666666667</v>
      </c>
      <c r="BS2">
        <v>1.8111111111111111</v>
      </c>
    </row>
    <row r="3" spans="1:71" x14ac:dyDescent="0.3">
      <c r="A3">
        <v>2</v>
      </c>
      <c r="B3">
        <v>45907.771157407406</v>
      </c>
      <c r="C3">
        <v>45907.845034722224</v>
      </c>
      <c r="D3" t="s">
        <v>61</v>
      </c>
      <c r="F3" t="s">
        <v>75</v>
      </c>
      <c r="G3" t="s">
        <v>63</v>
      </c>
      <c r="H3" t="s">
        <v>76</v>
      </c>
      <c r="I3" t="s">
        <v>77</v>
      </c>
      <c r="J3" t="s">
        <v>78</v>
      </c>
      <c r="K3" t="s">
        <v>79</v>
      </c>
      <c r="L3" t="s">
        <v>67</v>
      </c>
      <c r="O3">
        <v>1</v>
      </c>
      <c r="P3">
        <v>1</v>
      </c>
      <c r="Q3">
        <v>1</v>
      </c>
      <c r="R3">
        <v>5</v>
      </c>
      <c r="S3">
        <v>1</v>
      </c>
      <c r="T3">
        <v>1</v>
      </c>
      <c r="U3">
        <v>1</v>
      </c>
      <c r="V3">
        <v>4</v>
      </c>
      <c r="W3">
        <v>1</v>
      </c>
      <c r="X3">
        <v>4</v>
      </c>
      <c r="Y3">
        <v>1</v>
      </c>
      <c r="Z3">
        <v>1</v>
      </c>
      <c r="AA3">
        <v>3</v>
      </c>
      <c r="AB3">
        <v>1</v>
      </c>
      <c r="AC3">
        <v>3</v>
      </c>
      <c r="AD3">
        <v>4</v>
      </c>
      <c r="AE3">
        <v>1</v>
      </c>
      <c r="AF3">
        <v>1</v>
      </c>
      <c r="AG3">
        <v>3</v>
      </c>
      <c r="AH3">
        <v>3</v>
      </c>
      <c r="AI3">
        <v>2</v>
      </c>
      <c r="AJ3">
        <v>1</v>
      </c>
      <c r="AK3">
        <v>1</v>
      </c>
      <c r="AL3">
        <v>1</v>
      </c>
      <c r="AM3">
        <v>1</v>
      </c>
      <c r="AN3">
        <v>5</v>
      </c>
      <c r="AO3">
        <v>5</v>
      </c>
      <c r="AP3">
        <v>2</v>
      </c>
      <c r="AQ3">
        <v>5</v>
      </c>
      <c r="AR3">
        <v>5</v>
      </c>
      <c r="AS3">
        <v>5</v>
      </c>
      <c r="AT3">
        <v>1</v>
      </c>
      <c r="AU3">
        <v>2</v>
      </c>
      <c r="AV3">
        <v>4</v>
      </c>
      <c r="AW3">
        <v>2</v>
      </c>
      <c r="AX3">
        <v>1</v>
      </c>
      <c r="AY3">
        <v>3</v>
      </c>
      <c r="AZ3">
        <v>1</v>
      </c>
      <c r="BA3">
        <v>1</v>
      </c>
      <c r="BB3">
        <v>1</v>
      </c>
      <c r="BC3">
        <v>2</v>
      </c>
      <c r="BD3">
        <v>1</v>
      </c>
      <c r="BE3">
        <v>1</v>
      </c>
      <c r="BF3">
        <v>1</v>
      </c>
      <c r="BG3">
        <v>2</v>
      </c>
      <c r="BH3">
        <v>1</v>
      </c>
      <c r="BI3">
        <v>1</v>
      </c>
      <c r="BJ3">
        <v>1.8</v>
      </c>
      <c r="BK3">
        <v>2</v>
      </c>
      <c r="BL3">
        <v>2</v>
      </c>
      <c r="BM3">
        <v>2.3333333333333335</v>
      </c>
      <c r="BN3">
        <v>1.7222222222222223</v>
      </c>
      <c r="BO3">
        <v>2.9444444444444446</v>
      </c>
      <c r="BP3">
        <v>3.7888888888888888</v>
      </c>
      <c r="BQ3">
        <v>2.4</v>
      </c>
      <c r="BR3">
        <v>1.4</v>
      </c>
      <c r="BS3">
        <v>1.2333333333333334</v>
      </c>
    </row>
    <row r="4" spans="1:71" x14ac:dyDescent="0.3">
      <c r="A4">
        <v>3</v>
      </c>
      <c r="B4">
        <v>45908.755798611113</v>
      </c>
      <c r="C4">
        <v>45908.75949074074</v>
      </c>
      <c r="D4" t="s">
        <v>61</v>
      </c>
      <c r="F4" t="s">
        <v>75</v>
      </c>
      <c r="G4" t="s">
        <v>63</v>
      </c>
      <c r="H4" t="s">
        <v>80</v>
      </c>
      <c r="I4" t="s">
        <v>81</v>
      </c>
      <c r="J4" t="s">
        <v>82</v>
      </c>
      <c r="K4" t="s">
        <v>66</v>
      </c>
      <c r="L4" t="s">
        <v>83</v>
      </c>
      <c r="O4">
        <v>2</v>
      </c>
      <c r="P4">
        <v>2</v>
      </c>
      <c r="Q4">
        <v>5</v>
      </c>
      <c r="R4">
        <v>5</v>
      </c>
      <c r="S4">
        <v>4</v>
      </c>
      <c r="T4">
        <v>4</v>
      </c>
      <c r="U4">
        <v>4</v>
      </c>
      <c r="V4">
        <v>4</v>
      </c>
      <c r="W4">
        <v>3</v>
      </c>
      <c r="X4">
        <v>4</v>
      </c>
      <c r="Y4">
        <v>4</v>
      </c>
      <c r="Z4">
        <v>4</v>
      </c>
      <c r="AA4">
        <v>4</v>
      </c>
      <c r="AB4">
        <v>3</v>
      </c>
      <c r="AC4">
        <v>5</v>
      </c>
      <c r="AD4">
        <v>5</v>
      </c>
      <c r="AE4">
        <v>3</v>
      </c>
      <c r="AF4">
        <v>3</v>
      </c>
      <c r="AG4">
        <v>5</v>
      </c>
      <c r="AH4">
        <v>4</v>
      </c>
      <c r="AI4">
        <v>3</v>
      </c>
      <c r="AJ4">
        <v>2</v>
      </c>
      <c r="AK4">
        <v>2</v>
      </c>
      <c r="AL4">
        <v>3</v>
      </c>
      <c r="AM4">
        <v>2</v>
      </c>
      <c r="AN4">
        <v>4</v>
      </c>
      <c r="AO4">
        <v>4</v>
      </c>
      <c r="AP4">
        <v>2</v>
      </c>
      <c r="AQ4">
        <v>4</v>
      </c>
      <c r="AR4">
        <v>4</v>
      </c>
      <c r="AS4">
        <v>5</v>
      </c>
      <c r="AT4">
        <v>5</v>
      </c>
      <c r="AU4">
        <v>3</v>
      </c>
      <c r="AV4">
        <v>5</v>
      </c>
      <c r="AW4">
        <v>4</v>
      </c>
      <c r="AX4">
        <v>3</v>
      </c>
      <c r="AY4">
        <v>4</v>
      </c>
      <c r="AZ4">
        <v>1</v>
      </c>
      <c r="BA4">
        <v>1</v>
      </c>
      <c r="BB4">
        <v>3</v>
      </c>
      <c r="BC4">
        <v>1</v>
      </c>
      <c r="BD4">
        <v>1</v>
      </c>
      <c r="BE4">
        <v>2</v>
      </c>
      <c r="BF4">
        <v>1</v>
      </c>
      <c r="BG4">
        <v>1</v>
      </c>
      <c r="BH4">
        <v>1</v>
      </c>
      <c r="BI4">
        <v>4</v>
      </c>
      <c r="BJ4">
        <v>3.6</v>
      </c>
      <c r="BK4">
        <v>3.8</v>
      </c>
      <c r="BL4">
        <v>3.8</v>
      </c>
      <c r="BM4">
        <v>4.1333333333333329</v>
      </c>
      <c r="BN4">
        <v>3.0222222222222221</v>
      </c>
      <c r="BO4">
        <v>3.0044444444444443</v>
      </c>
      <c r="BP4">
        <v>4.2008888888888887</v>
      </c>
      <c r="BQ4">
        <v>3.8</v>
      </c>
      <c r="BR4">
        <v>1.7999999999999998</v>
      </c>
      <c r="BS4">
        <v>1.8</v>
      </c>
    </row>
    <row r="5" spans="1:71" x14ac:dyDescent="0.3">
      <c r="A5">
        <v>4</v>
      </c>
      <c r="B5">
        <v>45909.36824074074</v>
      </c>
      <c r="C5">
        <v>45909.374016203707</v>
      </c>
      <c r="D5" t="s">
        <v>61</v>
      </c>
      <c r="F5" t="s">
        <v>75</v>
      </c>
      <c r="G5" t="s">
        <v>63</v>
      </c>
      <c r="H5" t="s">
        <v>76</v>
      </c>
      <c r="I5" t="s">
        <v>77</v>
      </c>
      <c r="J5" t="s">
        <v>78</v>
      </c>
      <c r="K5" t="s">
        <v>66</v>
      </c>
      <c r="L5" t="s">
        <v>83</v>
      </c>
      <c r="O5">
        <v>2</v>
      </c>
      <c r="P5">
        <v>2</v>
      </c>
      <c r="Q5">
        <v>3</v>
      </c>
      <c r="R5">
        <v>5</v>
      </c>
      <c r="S5">
        <v>4</v>
      </c>
      <c r="T5">
        <v>3</v>
      </c>
      <c r="U5">
        <v>3</v>
      </c>
      <c r="V5">
        <v>2</v>
      </c>
      <c r="W5">
        <v>3</v>
      </c>
      <c r="X5">
        <v>3</v>
      </c>
      <c r="Y5">
        <v>1</v>
      </c>
      <c r="Z5">
        <v>3</v>
      </c>
      <c r="AA5">
        <v>3</v>
      </c>
      <c r="AB5">
        <v>1</v>
      </c>
      <c r="AC5">
        <v>3</v>
      </c>
      <c r="AD5">
        <v>3</v>
      </c>
      <c r="AE5">
        <v>2</v>
      </c>
      <c r="AF5">
        <v>1</v>
      </c>
      <c r="AG5">
        <v>4</v>
      </c>
      <c r="AH5">
        <v>3</v>
      </c>
      <c r="AI5">
        <v>3</v>
      </c>
      <c r="AJ5">
        <v>3</v>
      </c>
      <c r="AK5">
        <v>2</v>
      </c>
      <c r="AL5">
        <v>2</v>
      </c>
      <c r="AM5">
        <v>1</v>
      </c>
      <c r="AN5">
        <v>3</v>
      </c>
      <c r="AO5">
        <v>2</v>
      </c>
      <c r="AP5">
        <v>3</v>
      </c>
      <c r="AQ5">
        <v>3</v>
      </c>
      <c r="AR5">
        <v>3</v>
      </c>
      <c r="AS5">
        <v>2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1</v>
      </c>
      <c r="BD5">
        <v>4</v>
      </c>
      <c r="BE5">
        <v>3</v>
      </c>
      <c r="BF5">
        <v>2</v>
      </c>
      <c r="BG5">
        <v>3</v>
      </c>
      <c r="BH5">
        <v>2</v>
      </c>
      <c r="BI5">
        <v>3</v>
      </c>
      <c r="BJ5">
        <v>3.2</v>
      </c>
      <c r="BK5">
        <v>2.8</v>
      </c>
      <c r="BL5">
        <v>2.2999999999999998</v>
      </c>
      <c r="BM5">
        <v>2.5499999999999998</v>
      </c>
      <c r="BN5">
        <v>2.5916666666666668</v>
      </c>
      <c r="BO5">
        <v>2.3183333333333334</v>
      </c>
      <c r="BP5">
        <v>2.6636666666666668</v>
      </c>
      <c r="BQ5">
        <v>3</v>
      </c>
      <c r="BR5">
        <v>2.8333333333333335</v>
      </c>
      <c r="BS5">
        <v>2.6388888888888888</v>
      </c>
    </row>
    <row r="6" spans="1:71" x14ac:dyDescent="0.3">
      <c r="A6">
        <v>5</v>
      </c>
      <c r="B6">
        <v>45909.672384259262</v>
      </c>
      <c r="C6">
        <v>45909.675405092596</v>
      </c>
      <c r="D6" t="s">
        <v>61</v>
      </c>
      <c r="F6" t="s">
        <v>84</v>
      </c>
      <c r="G6" t="s">
        <v>63</v>
      </c>
      <c r="H6" t="s">
        <v>64</v>
      </c>
      <c r="I6" t="s">
        <v>85</v>
      </c>
      <c r="J6" t="s">
        <v>65</v>
      </c>
      <c r="K6" t="s">
        <v>66</v>
      </c>
      <c r="L6" t="s">
        <v>67</v>
      </c>
      <c r="O6">
        <v>3</v>
      </c>
      <c r="P6">
        <v>2</v>
      </c>
      <c r="Q6">
        <v>1</v>
      </c>
      <c r="R6">
        <v>2</v>
      </c>
      <c r="S6">
        <v>3</v>
      </c>
      <c r="T6">
        <v>1</v>
      </c>
      <c r="U6">
        <v>1</v>
      </c>
      <c r="V6">
        <v>2</v>
      </c>
      <c r="W6">
        <v>1</v>
      </c>
      <c r="X6">
        <v>2</v>
      </c>
      <c r="Y6">
        <v>4</v>
      </c>
      <c r="Z6">
        <v>1</v>
      </c>
      <c r="AA6">
        <v>3</v>
      </c>
      <c r="AB6">
        <v>1</v>
      </c>
      <c r="AC6">
        <v>1</v>
      </c>
      <c r="AD6">
        <v>2</v>
      </c>
      <c r="AE6">
        <v>1</v>
      </c>
      <c r="AF6">
        <v>1</v>
      </c>
      <c r="AG6">
        <v>2</v>
      </c>
      <c r="AH6">
        <v>1</v>
      </c>
      <c r="AI6">
        <v>1</v>
      </c>
      <c r="AJ6">
        <v>2</v>
      </c>
      <c r="AK6">
        <v>1</v>
      </c>
      <c r="AL6">
        <v>1</v>
      </c>
      <c r="AM6">
        <v>1</v>
      </c>
      <c r="AN6">
        <v>3</v>
      </c>
      <c r="AO6">
        <v>4</v>
      </c>
      <c r="AP6">
        <v>1</v>
      </c>
      <c r="AQ6">
        <v>2</v>
      </c>
      <c r="AR6">
        <v>1</v>
      </c>
      <c r="AS6">
        <v>2</v>
      </c>
      <c r="AT6">
        <v>1</v>
      </c>
      <c r="AU6">
        <v>1</v>
      </c>
      <c r="AV6">
        <v>3</v>
      </c>
      <c r="AW6">
        <v>2</v>
      </c>
      <c r="AX6">
        <v>1</v>
      </c>
      <c r="AY6">
        <v>2</v>
      </c>
      <c r="AZ6">
        <v>3</v>
      </c>
      <c r="BA6">
        <v>3</v>
      </c>
      <c r="BB6">
        <v>2</v>
      </c>
      <c r="BC6">
        <v>3</v>
      </c>
      <c r="BD6">
        <v>1</v>
      </c>
      <c r="BE6">
        <v>2</v>
      </c>
      <c r="BF6">
        <v>3</v>
      </c>
      <c r="BG6">
        <v>2</v>
      </c>
      <c r="BH6">
        <v>1</v>
      </c>
      <c r="BI6">
        <v>1</v>
      </c>
      <c r="BJ6">
        <v>2.2000000000000002</v>
      </c>
      <c r="BK6">
        <v>1.4</v>
      </c>
      <c r="BL6">
        <v>2.0666666666666664</v>
      </c>
      <c r="BM6">
        <v>1.5111111111111111</v>
      </c>
      <c r="BN6">
        <v>1.2518518518518518</v>
      </c>
      <c r="BO6">
        <v>2.0503703703703704</v>
      </c>
      <c r="BP6">
        <v>1.610074074074074</v>
      </c>
      <c r="BQ6">
        <v>1.8</v>
      </c>
      <c r="BR6">
        <v>2.2999999999999998</v>
      </c>
      <c r="BS6">
        <v>1.8833333333333333</v>
      </c>
    </row>
    <row r="7" spans="1:71" x14ac:dyDescent="0.3">
      <c r="A7">
        <v>6</v>
      </c>
      <c r="B7">
        <v>45910.424988425926</v>
      </c>
      <c r="C7">
        <v>45910.443032407406</v>
      </c>
      <c r="D7" t="s">
        <v>61</v>
      </c>
      <c r="F7" t="s">
        <v>86</v>
      </c>
      <c r="G7" t="s">
        <v>87</v>
      </c>
      <c r="H7" t="s">
        <v>88</v>
      </c>
      <c r="I7" t="s">
        <v>77</v>
      </c>
      <c r="J7" t="s">
        <v>78</v>
      </c>
      <c r="K7" t="s">
        <v>66</v>
      </c>
      <c r="L7" t="s">
        <v>89</v>
      </c>
      <c r="O7">
        <v>3</v>
      </c>
      <c r="P7">
        <v>2</v>
      </c>
      <c r="Q7">
        <v>4</v>
      </c>
      <c r="R7">
        <v>2</v>
      </c>
      <c r="S7">
        <v>2</v>
      </c>
      <c r="T7">
        <v>3</v>
      </c>
      <c r="U7">
        <v>3</v>
      </c>
      <c r="V7">
        <v>4</v>
      </c>
      <c r="W7">
        <v>4</v>
      </c>
      <c r="X7">
        <v>4</v>
      </c>
      <c r="Y7">
        <v>4</v>
      </c>
      <c r="Z7">
        <v>3</v>
      </c>
      <c r="AA7">
        <v>4</v>
      </c>
      <c r="AB7">
        <v>2</v>
      </c>
      <c r="AC7">
        <v>2</v>
      </c>
      <c r="AD7">
        <v>4</v>
      </c>
      <c r="AE7">
        <v>3</v>
      </c>
      <c r="AF7">
        <v>2</v>
      </c>
      <c r="AG7">
        <v>3</v>
      </c>
      <c r="AH7">
        <v>4</v>
      </c>
      <c r="AI7">
        <v>4</v>
      </c>
      <c r="AJ7">
        <v>4</v>
      </c>
      <c r="AK7">
        <v>4</v>
      </c>
      <c r="AL7">
        <v>4</v>
      </c>
      <c r="AM7">
        <v>2</v>
      </c>
      <c r="AN7">
        <v>4</v>
      </c>
      <c r="AO7">
        <v>4</v>
      </c>
      <c r="AP7">
        <v>3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2</v>
      </c>
      <c r="AY7">
        <v>3</v>
      </c>
      <c r="AZ7">
        <v>2</v>
      </c>
      <c r="BA7">
        <v>2</v>
      </c>
      <c r="BB7">
        <v>2</v>
      </c>
      <c r="BC7">
        <v>2</v>
      </c>
      <c r="BD7">
        <v>2</v>
      </c>
      <c r="BE7">
        <v>4</v>
      </c>
      <c r="BF7">
        <v>3</v>
      </c>
      <c r="BG7">
        <v>4</v>
      </c>
      <c r="BH7">
        <v>3</v>
      </c>
      <c r="BI7">
        <v>4</v>
      </c>
      <c r="BJ7">
        <v>2.6</v>
      </c>
      <c r="BK7">
        <v>3.4</v>
      </c>
      <c r="BL7">
        <v>3.4</v>
      </c>
      <c r="BM7">
        <v>2.9</v>
      </c>
      <c r="BN7">
        <v>3.8166666666666664</v>
      </c>
      <c r="BO7">
        <v>3.3633333333333333</v>
      </c>
      <c r="BP7">
        <v>3.8726666666666665</v>
      </c>
      <c r="BQ7">
        <v>3.4</v>
      </c>
      <c r="BR7">
        <v>2.2333333333333334</v>
      </c>
      <c r="BS7">
        <v>3.3722222222222222</v>
      </c>
    </row>
    <row r="8" spans="1:71" x14ac:dyDescent="0.3">
      <c r="A8">
        <v>7</v>
      </c>
      <c r="B8">
        <v>45910.491087962961</v>
      </c>
      <c r="C8">
        <v>45910.494699074072</v>
      </c>
      <c r="D8" t="s">
        <v>61</v>
      </c>
      <c r="F8" t="s">
        <v>75</v>
      </c>
      <c r="G8" t="s">
        <v>87</v>
      </c>
      <c r="H8" t="s">
        <v>76</v>
      </c>
      <c r="I8" t="s">
        <v>81</v>
      </c>
      <c r="J8" t="s">
        <v>78</v>
      </c>
      <c r="K8" t="s">
        <v>66</v>
      </c>
      <c r="L8" t="s">
        <v>89</v>
      </c>
      <c r="M8" t="s">
        <v>90</v>
      </c>
      <c r="N8" t="s">
        <v>91</v>
      </c>
      <c r="O8">
        <v>2</v>
      </c>
      <c r="P8">
        <v>4</v>
      </c>
      <c r="Q8">
        <v>4</v>
      </c>
      <c r="R8">
        <v>4</v>
      </c>
      <c r="S8">
        <v>5</v>
      </c>
      <c r="T8">
        <v>4</v>
      </c>
      <c r="U8">
        <v>4</v>
      </c>
      <c r="V8">
        <v>4</v>
      </c>
      <c r="W8">
        <v>5</v>
      </c>
      <c r="X8">
        <v>4</v>
      </c>
      <c r="Y8">
        <v>4</v>
      </c>
      <c r="Z8">
        <v>3</v>
      </c>
      <c r="AA8">
        <v>4</v>
      </c>
      <c r="AB8">
        <v>1</v>
      </c>
      <c r="AC8">
        <v>4</v>
      </c>
      <c r="AD8">
        <v>5</v>
      </c>
      <c r="AE8">
        <v>5</v>
      </c>
      <c r="AF8">
        <v>4</v>
      </c>
      <c r="AG8">
        <v>4</v>
      </c>
      <c r="AH8">
        <v>4</v>
      </c>
      <c r="AI8">
        <v>2</v>
      </c>
      <c r="AJ8">
        <v>5</v>
      </c>
      <c r="AK8">
        <v>2</v>
      </c>
      <c r="AL8">
        <v>3</v>
      </c>
      <c r="AM8">
        <v>3</v>
      </c>
      <c r="AN8">
        <v>4</v>
      </c>
      <c r="AO8">
        <v>4</v>
      </c>
      <c r="AP8">
        <v>4</v>
      </c>
      <c r="AQ8">
        <v>5</v>
      </c>
      <c r="AR8">
        <v>5</v>
      </c>
      <c r="AS8">
        <v>5</v>
      </c>
      <c r="AT8">
        <v>5</v>
      </c>
      <c r="AU8">
        <v>4</v>
      </c>
      <c r="AV8">
        <v>5</v>
      </c>
      <c r="AW8">
        <v>5</v>
      </c>
      <c r="AX8">
        <v>3</v>
      </c>
      <c r="AY8">
        <v>4</v>
      </c>
      <c r="AZ8">
        <v>3</v>
      </c>
      <c r="BA8">
        <v>3</v>
      </c>
      <c r="BB8">
        <v>4</v>
      </c>
      <c r="BC8">
        <v>3</v>
      </c>
      <c r="BD8">
        <v>3</v>
      </c>
      <c r="BE8">
        <v>3</v>
      </c>
      <c r="BF8">
        <v>3</v>
      </c>
      <c r="BG8">
        <v>4</v>
      </c>
      <c r="BH8">
        <v>2</v>
      </c>
      <c r="BI8">
        <v>4</v>
      </c>
      <c r="BJ8">
        <v>3.8</v>
      </c>
      <c r="BK8">
        <v>4.2</v>
      </c>
      <c r="BL8">
        <v>3.3666666666666667</v>
      </c>
      <c r="BM8">
        <v>4.2277777777777779</v>
      </c>
      <c r="BN8">
        <v>3.3712962962962965</v>
      </c>
      <c r="BO8">
        <v>3.6742592592592591</v>
      </c>
      <c r="BP8">
        <v>4.7348518518518521</v>
      </c>
      <c r="BQ8">
        <v>4.2</v>
      </c>
      <c r="BR8">
        <v>3.3666666666666667</v>
      </c>
      <c r="BS8">
        <v>3.2277777777777779</v>
      </c>
    </row>
    <row r="9" spans="1:71" x14ac:dyDescent="0.3">
      <c r="A9">
        <v>8</v>
      </c>
      <c r="B9">
        <v>45910.511712962965</v>
      </c>
      <c r="C9">
        <v>45910.519803240742</v>
      </c>
      <c r="D9" t="s">
        <v>61</v>
      </c>
      <c r="F9" t="s">
        <v>75</v>
      </c>
      <c r="G9" t="s">
        <v>87</v>
      </c>
      <c r="H9" t="s">
        <v>76</v>
      </c>
      <c r="I9" t="s">
        <v>92</v>
      </c>
      <c r="J9" t="s">
        <v>93</v>
      </c>
      <c r="K9" t="s">
        <v>66</v>
      </c>
      <c r="L9" t="s">
        <v>89</v>
      </c>
      <c r="M9" t="s">
        <v>94</v>
      </c>
      <c r="N9" t="s">
        <v>91</v>
      </c>
      <c r="O9">
        <v>3</v>
      </c>
      <c r="P9">
        <v>2</v>
      </c>
      <c r="Q9">
        <v>4</v>
      </c>
      <c r="R9">
        <v>4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1</v>
      </c>
      <c r="Z9">
        <v>2</v>
      </c>
      <c r="AA9">
        <v>4</v>
      </c>
      <c r="AB9">
        <v>1</v>
      </c>
      <c r="AC9">
        <v>4</v>
      </c>
      <c r="AD9">
        <v>4</v>
      </c>
      <c r="AF9">
        <v>4</v>
      </c>
      <c r="AG9">
        <v>3</v>
      </c>
      <c r="AH9">
        <v>4</v>
      </c>
      <c r="AI9">
        <v>4</v>
      </c>
      <c r="AJ9">
        <v>4</v>
      </c>
      <c r="AK9">
        <v>4</v>
      </c>
      <c r="AL9">
        <v>4</v>
      </c>
      <c r="AM9">
        <v>2</v>
      </c>
      <c r="AN9">
        <v>4</v>
      </c>
      <c r="AO9">
        <v>5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2</v>
      </c>
      <c r="AZ9">
        <v>3</v>
      </c>
      <c r="BA9">
        <v>4</v>
      </c>
      <c r="BB9">
        <v>4</v>
      </c>
      <c r="BC9">
        <v>2</v>
      </c>
      <c r="BD9">
        <v>2</v>
      </c>
      <c r="BE9">
        <v>4</v>
      </c>
      <c r="BF9">
        <v>4</v>
      </c>
      <c r="BG9">
        <v>4</v>
      </c>
      <c r="BH9">
        <v>4</v>
      </c>
      <c r="BI9">
        <v>4</v>
      </c>
      <c r="BJ9">
        <v>3</v>
      </c>
      <c r="BK9">
        <v>2</v>
      </c>
      <c r="BL9">
        <v>2</v>
      </c>
      <c r="BM9">
        <v>3.4</v>
      </c>
      <c r="BN9">
        <v>3.9</v>
      </c>
      <c r="BO9">
        <v>3.78</v>
      </c>
      <c r="BP9">
        <v>3.956</v>
      </c>
      <c r="BQ9">
        <v>3.6</v>
      </c>
      <c r="BR9">
        <v>3.1</v>
      </c>
      <c r="BS9">
        <v>3.85</v>
      </c>
    </row>
    <row r="10" spans="1:71" x14ac:dyDescent="0.3">
      <c r="A10">
        <v>9</v>
      </c>
      <c r="B10">
        <v>45910.815081018518</v>
      </c>
      <c r="C10">
        <v>45910.817986111113</v>
      </c>
      <c r="D10" t="s">
        <v>61</v>
      </c>
      <c r="F10" t="s">
        <v>95</v>
      </c>
      <c r="G10" t="s">
        <v>87</v>
      </c>
      <c r="H10" t="s">
        <v>88</v>
      </c>
      <c r="I10" t="s">
        <v>77</v>
      </c>
      <c r="J10" t="s">
        <v>93</v>
      </c>
      <c r="K10" t="s">
        <v>65</v>
      </c>
      <c r="L10" t="s">
        <v>65</v>
      </c>
      <c r="M10" t="s">
        <v>96</v>
      </c>
      <c r="O10">
        <v>1</v>
      </c>
      <c r="P10">
        <v>1</v>
      </c>
      <c r="Q10">
        <v>3</v>
      </c>
      <c r="R10">
        <v>3</v>
      </c>
      <c r="S10">
        <v>2</v>
      </c>
      <c r="T10">
        <v>2</v>
      </c>
      <c r="U10">
        <v>2</v>
      </c>
      <c r="V10">
        <v>2</v>
      </c>
      <c r="W10">
        <v>3</v>
      </c>
      <c r="X10">
        <v>4</v>
      </c>
      <c r="Y10">
        <v>3</v>
      </c>
      <c r="Z10">
        <v>1</v>
      </c>
      <c r="AA10">
        <v>3</v>
      </c>
      <c r="AB10">
        <v>3</v>
      </c>
      <c r="AC10">
        <v>2</v>
      </c>
      <c r="AD10">
        <v>3</v>
      </c>
      <c r="AE10">
        <v>1</v>
      </c>
      <c r="AF10">
        <v>5</v>
      </c>
      <c r="AG10">
        <v>3</v>
      </c>
      <c r="AH10">
        <v>2</v>
      </c>
      <c r="AI10">
        <v>2</v>
      </c>
      <c r="AJ10">
        <v>3</v>
      </c>
      <c r="AK10">
        <v>1</v>
      </c>
      <c r="AL10">
        <v>3</v>
      </c>
      <c r="AM10">
        <v>1</v>
      </c>
      <c r="AN10">
        <v>2</v>
      </c>
      <c r="AO10">
        <v>4</v>
      </c>
      <c r="AP10">
        <v>1</v>
      </c>
      <c r="AQ10">
        <v>2</v>
      </c>
      <c r="AR10">
        <v>2</v>
      </c>
      <c r="AS10">
        <v>4</v>
      </c>
      <c r="AT10">
        <v>1</v>
      </c>
      <c r="AU10">
        <v>1</v>
      </c>
      <c r="AV10">
        <v>2</v>
      </c>
      <c r="AW10">
        <v>3</v>
      </c>
      <c r="AX10">
        <v>2</v>
      </c>
      <c r="AY10">
        <v>3</v>
      </c>
      <c r="AZ10">
        <v>2</v>
      </c>
      <c r="BA10">
        <v>4</v>
      </c>
      <c r="BB10">
        <v>3</v>
      </c>
      <c r="BC10">
        <v>3</v>
      </c>
      <c r="BD10">
        <v>4</v>
      </c>
      <c r="BE10">
        <v>3</v>
      </c>
      <c r="BF10">
        <v>3</v>
      </c>
      <c r="BG10">
        <v>2</v>
      </c>
      <c r="BH10">
        <v>1</v>
      </c>
      <c r="BI10">
        <v>2</v>
      </c>
      <c r="BJ10">
        <v>2</v>
      </c>
      <c r="BK10">
        <v>2.4</v>
      </c>
      <c r="BL10">
        <v>2.7333333333333334</v>
      </c>
      <c r="BM10">
        <v>2.7888888888888888</v>
      </c>
      <c r="BN10">
        <v>2.2981481481481483</v>
      </c>
      <c r="BO10">
        <v>2.0596296296296295</v>
      </c>
      <c r="BP10">
        <v>2.2119259259259261</v>
      </c>
      <c r="BQ10">
        <v>2.2000000000000002</v>
      </c>
      <c r="BR10">
        <v>3.0333333333333332</v>
      </c>
      <c r="BS10">
        <v>2.338888888888889</v>
      </c>
    </row>
    <row r="11" spans="1:71" x14ac:dyDescent="0.3">
      <c r="A11">
        <v>10</v>
      </c>
      <c r="B11">
        <v>45912.763414351852</v>
      </c>
      <c r="C11">
        <v>45912.766516203701</v>
      </c>
      <c r="D11" t="s">
        <v>61</v>
      </c>
      <c r="F11" t="s">
        <v>86</v>
      </c>
      <c r="G11" t="s">
        <v>87</v>
      </c>
      <c r="H11" t="s">
        <v>97</v>
      </c>
      <c r="I11" t="s">
        <v>98</v>
      </c>
      <c r="J11" t="s">
        <v>78</v>
      </c>
      <c r="K11" t="s">
        <v>66</v>
      </c>
      <c r="L11" t="s">
        <v>83</v>
      </c>
      <c r="M11" t="s">
        <v>96</v>
      </c>
      <c r="N11" t="s">
        <v>99</v>
      </c>
      <c r="O11">
        <v>3</v>
      </c>
      <c r="P11">
        <v>3</v>
      </c>
      <c r="Q11">
        <v>4</v>
      </c>
      <c r="R11">
        <v>4</v>
      </c>
      <c r="S11">
        <v>3</v>
      </c>
      <c r="T11">
        <v>3</v>
      </c>
      <c r="U11">
        <v>2</v>
      </c>
      <c r="V11">
        <v>4</v>
      </c>
      <c r="W11">
        <v>3</v>
      </c>
      <c r="X11">
        <v>3</v>
      </c>
      <c r="Z11">
        <v>3</v>
      </c>
      <c r="AA11">
        <v>3</v>
      </c>
      <c r="AB11">
        <v>2</v>
      </c>
      <c r="AC11">
        <v>3</v>
      </c>
      <c r="AD11">
        <v>3</v>
      </c>
      <c r="AE11">
        <v>4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4</v>
      </c>
      <c r="AL11">
        <v>2</v>
      </c>
      <c r="AM11">
        <v>1</v>
      </c>
      <c r="AN11">
        <v>4</v>
      </c>
      <c r="AO11">
        <v>4</v>
      </c>
      <c r="AP11">
        <v>1</v>
      </c>
      <c r="AQ11">
        <v>4</v>
      </c>
      <c r="AR11">
        <v>4</v>
      </c>
      <c r="AS11">
        <v>4</v>
      </c>
      <c r="AT11">
        <v>3</v>
      </c>
      <c r="AU11">
        <v>2</v>
      </c>
      <c r="AV11">
        <v>3</v>
      </c>
      <c r="AW11">
        <v>3</v>
      </c>
      <c r="AX11">
        <v>2</v>
      </c>
      <c r="AY11">
        <v>3</v>
      </c>
      <c r="AZ11">
        <v>2</v>
      </c>
      <c r="BA11">
        <v>2</v>
      </c>
      <c r="BB11">
        <v>2</v>
      </c>
      <c r="BC11">
        <v>2</v>
      </c>
      <c r="BD11">
        <v>3</v>
      </c>
      <c r="BE11">
        <v>4</v>
      </c>
      <c r="BF11">
        <v>2</v>
      </c>
      <c r="BG11">
        <v>3</v>
      </c>
      <c r="BH11">
        <v>3</v>
      </c>
      <c r="BI11">
        <v>4</v>
      </c>
      <c r="BJ11">
        <v>3.4</v>
      </c>
      <c r="BK11">
        <v>3</v>
      </c>
      <c r="BL11">
        <v>2.8</v>
      </c>
      <c r="BM11">
        <v>3.1333333333333333</v>
      </c>
      <c r="BN11">
        <v>3.0222222222222221</v>
      </c>
      <c r="BO11">
        <v>2.6044444444444443</v>
      </c>
      <c r="BP11">
        <v>3.520888888888889</v>
      </c>
      <c r="BQ11">
        <v>2.6</v>
      </c>
      <c r="BR11">
        <v>2.2666666666666666</v>
      </c>
      <c r="BS11">
        <v>3.0444444444444443</v>
      </c>
    </row>
    <row r="12" spans="1:71" x14ac:dyDescent="0.3">
      <c r="A12">
        <v>11</v>
      </c>
      <c r="B12">
        <v>45919.8753125</v>
      </c>
      <c r="C12">
        <v>45919.876400462963</v>
      </c>
      <c r="D12" t="s">
        <v>61</v>
      </c>
      <c r="F12" t="s">
        <v>84</v>
      </c>
      <c r="G12" t="s">
        <v>87</v>
      </c>
      <c r="H12" t="s">
        <v>76</v>
      </c>
      <c r="I12" t="s">
        <v>81</v>
      </c>
      <c r="J12" t="s">
        <v>82</v>
      </c>
      <c r="K12" t="s">
        <v>100</v>
      </c>
      <c r="L12" t="s">
        <v>89</v>
      </c>
      <c r="M12" t="s">
        <v>101</v>
      </c>
      <c r="N12" t="s">
        <v>91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1</v>
      </c>
      <c r="AZ12">
        <v>5</v>
      </c>
      <c r="BA12">
        <v>5</v>
      </c>
      <c r="BB12">
        <v>5</v>
      </c>
      <c r="BC12">
        <v>1</v>
      </c>
      <c r="BD12">
        <v>1</v>
      </c>
      <c r="BE12">
        <v>5</v>
      </c>
      <c r="BF12">
        <v>5</v>
      </c>
      <c r="BG12">
        <v>5</v>
      </c>
      <c r="BH12">
        <v>5</v>
      </c>
      <c r="BI12">
        <v>5</v>
      </c>
      <c r="BJ12">
        <v>5</v>
      </c>
      <c r="BK12">
        <v>4.2</v>
      </c>
      <c r="BL12">
        <v>4.8666666666666671</v>
      </c>
      <c r="BM12">
        <v>4.9777777777777779</v>
      </c>
      <c r="BN12">
        <v>4.996296296296296</v>
      </c>
      <c r="BO12">
        <v>4.9992592592592588</v>
      </c>
      <c r="BP12">
        <v>4.9998518518518518</v>
      </c>
      <c r="BQ12">
        <v>4.2</v>
      </c>
      <c r="BR12">
        <v>3.5333333333333332</v>
      </c>
      <c r="BS12">
        <v>4.7555555555555555</v>
      </c>
    </row>
    <row r="13" spans="1:71" x14ac:dyDescent="0.3">
      <c r="A13">
        <v>12</v>
      </c>
      <c r="B13">
        <v>45926.601793981485</v>
      </c>
      <c r="C13">
        <v>45926.605486111112</v>
      </c>
      <c r="D13" t="s">
        <v>61</v>
      </c>
      <c r="F13" t="s">
        <v>86</v>
      </c>
      <c r="G13" t="s">
        <v>87</v>
      </c>
      <c r="H13" t="s">
        <v>88</v>
      </c>
      <c r="I13" t="s">
        <v>77</v>
      </c>
      <c r="J13" t="s">
        <v>93</v>
      </c>
      <c r="K13" t="s">
        <v>66</v>
      </c>
      <c r="L13" t="s">
        <v>67</v>
      </c>
      <c r="M13" t="s">
        <v>102</v>
      </c>
      <c r="N13" t="s">
        <v>103</v>
      </c>
      <c r="O13">
        <v>3</v>
      </c>
      <c r="P13">
        <v>2</v>
      </c>
      <c r="Q13">
        <v>5</v>
      </c>
      <c r="R13">
        <v>4</v>
      </c>
      <c r="S13">
        <v>4</v>
      </c>
      <c r="T13">
        <v>3</v>
      </c>
      <c r="U13">
        <v>3</v>
      </c>
      <c r="V13">
        <v>2</v>
      </c>
      <c r="W13">
        <v>3</v>
      </c>
      <c r="X13">
        <v>4</v>
      </c>
      <c r="Y13">
        <v>5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3</v>
      </c>
      <c r="AF13">
        <v>2</v>
      </c>
      <c r="AG13">
        <v>3</v>
      </c>
      <c r="AH13">
        <v>3</v>
      </c>
      <c r="AI13">
        <v>4</v>
      </c>
      <c r="AJ13">
        <v>3</v>
      </c>
      <c r="AK13">
        <v>2</v>
      </c>
      <c r="AL13">
        <v>4</v>
      </c>
      <c r="AM13">
        <v>3</v>
      </c>
      <c r="AN13">
        <v>5</v>
      </c>
      <c r="AO13">
        <v>4</v>
      </c>
      <c r="AP13">
        <v>3</v>
      </c>
      <c r="AQ13">
        <v>4</v>
      </c>
      <c r="AR13">
        <v>4</v>
      </c>
      <c r="AS13">
        <v>4</v>
      </c>
      <c r="AT13">
        <v>3</v>
      </c>
      <c r="AU13">
        <v>3</v>
      </c>
      <c r="AV13">
        <v>4</v>
      </c>
      <c r="AW13">
        <v>3</v>
      </c>
      <c r="AX13">
        <v>2</v>
      </c>
      <c r="AY13">
        <v>3</v>
      </c>
      <c r="AZ13">
        <v>1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2</v>
      </c>
      <c r="BG13">
        <v>3</v>
      </c>
      <c r="BH13">
        <v>2</v>
      </c>
      <c r="BI13">
        <v>4</v>
      </c>
      <c r="BJ13">
        <v>3.6</v>
      </c>
      <c r="BK13">
        <v>2.8</v>
      </c>
      <c r="BL13">
        <v>3.9666666666666668</v>
      </c>
      <c r="BM13">
        <v>3.3277777777777779</v>
      </c>
      <c r="BN13">
        <v>3.2212962962962965</v>
      </c>
      <c r="BO13">
        <v>3.6442592592592593</v>
      </c>
      <c r="BP13">
        <v>3.7288518518518519</v>
      </c>
      <c r="BQ13">
        <v>3</v>
      </c>
      <c r="BR13">
        <v>2.6666666666666665</v>
      </c>
      <c r="BS13">
        <v>2.7777777777777777</v>
      </c>
    </row>
    <row r="14" spans="1:71" x14ac:dyDescent="0.3">
      <c r="A14">
        <v>13</v>
      </c>
      <c r="B14">
        <v>45933.655393518522</v>
      </c>
      <c r="C14">
        <v>45933.657372685186</v>
      </c>
      <c r="D14" t="s">
        <v>61</v>
      </c>
      <c r="F14" t="s">
        <v>84</v>
      </c>
      <c r="G14" t="s">
        <v>63</v>
      </c>
      <c r="H14" t="s">
        <v>80</v>
      </c>
      <c r="I14" t="s">
        <v>92</v>
      </c>
      <c r="J14" t="s">
        <v>82</v>
      </c>
      <c r="K14" t="s">
        <v>66</v>
      </c>
      <c r="L14" t="s">
        <v>89</v>
      </c>
      <c r="M14" t="s">
        <v>96</v>
      </c>
      <c r="N14" t="s">
        <v>99</v>
      </c>
      <c r="O14">
        <v>5</v>
      </c>
      <c r="P14">
        <v>3</v>
      </c>
      <c r="Q14">
        <v>4</v>
      </c>
      <c r="R14">
        <v>3</v>
      </c>
      <c r="S14">
        <v>2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3.4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3</v>
      </c>
      <c r="BQ14">
        <v>3</v>
      </c>
      <c r="BR14">
        <v>3</v>
      </c>
      <c r="BS14">
        <v>3</v>
      </c>
    </row>
    <row r="15" spans="1:71" x14ac:dyDescent="0.3">
      <c r="A15">
        <v>14</v>
      </c>
      <c r="B15">
        <v>45933.777430555558</v>
      </c>
      <c r="C15">
        <v>45933.782835648148</v>
      </c>
      <c r="D15" t="s">
        <v>61</v>
      </c>
      <c r="F15" t="s">
        <v>86</v>
      </c>
      <c r="G15" t="s">
        <v>63</v>
      </c>
      <c r="H15" t="s">
        <v>80</v>
      </c>
      <c r="I15" t="s">
        <v>81</v>
      </c>
      <c r="J15" t="s">
        <v>104</v>
      </c>
      <c r="K15" t="s">
        <v>66</v>
      </c>
      <c r="L15" t="s">
        <v>67</v>
      </c>
      <c r="M15" t="s">
        <v>101</v>
      </c>
      <c r="N15" t="s">
        <v>91</v>
      </c>
      <c r="O15">
        <v>1</v>
      </c>
      <c r="P15">
        <v>1</v>
      </c>
      <c r="Q15">
        <v>3</v>
      </c>
      <c r="R15">
        <v>4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2</v>
      </c>
      <c r="AA15">
        <v>3</v>
      </c>
      <c r="AB15">
        <v>2</v>
      </c>
      <c r="AC15">
        <v>4</v>
      </c>
      <c r="AD15">
        <v>4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4</v>
      </c>
      <c r="AO15">
        <v>4</v>
      </c>
      <c r="AP15">
        <v>3</v>
      </c>
      <c r="AQ15">
        <v>4</v>
      </c>
      <c r="AR15">
        <v>3</v>
      </c>
      <c r="AS15">
        <v>4</v>
      </c>
      <c r="AT15">
        <v>3</v>
      </c>
      <c r="AU15">
        <v>3</v>
      </c>
      <c r="AV15">
        <v>3</v>
      </c>
      <c r="AW15">
        <v>3</v>
      </c>
      <c r="AX15">
        <v>3</v>
      </c>
      <c r="AY15">
        <v>4</v>
      </c>
      <c r="AZ15">
        <v>2</v>
      </c>
      <c r="BA15">
        <v>2</v>
      </c>
      <c r="BB15">
        <v>3</v>
      </c>
      <c r="BC15">
        <v>3</v>
      </c>
      <c r="BD15">
        <v>2</v>
      </c>
      <c r="BE15">
        <v>3</v>
      </c>
      <c r="BF15">
        <v>3</v>
      </c>
      <c r="BG15">
        <v>3</v>
      </c>
      <c r="BH15">
        <v>3</v>
      </c>
      <c r="BI15">
        <v>4</v>
      </c>
      <c r="BJ15">
        <v>2.4</v>
      </c>
      <c r="BK15">
        <v>3.2</v>
      </c>
      <c r="BL15">
        <v>2.7</v>
      </c>
      <c r="BM15">
        <v>3.2833333333333332</v>
      </c>
      <c r="BN15">
        <v>3.0472222222222221</v>
      </c>
      <c r="BO15">
        <v>3.4094444444444445</v>
      </c>
      <c r="BP15">
        <v>3.4818888888888888</v>
      </c>
      <c r="BQ15">
        <v>3.2</v>
      </c>
      <c r="BR15">
        <v>2.5333333333333332</v>
      </c>
      <c r="BS15">
        <v>3.088888888888889</v>
      </c>
    </row>
    <row r="16" spans="1:71" x14ac:dyDescent="0.3">
      <c r="A16">
        <v>15</v>
      </c>
      <c r="B16">
        <v>45934.520578703705</v>
      </c>
      <c r="C16">
        <v>45934.522650462961</v>
      </c>
      <c r="D16" t="s">
        <v>61</v>
      </c>
      <c r="F16" t="s">
        <v>84</v>
      </c>
      <c r="G16" t="s">
        <v>63</v>
      </c>
      <c r="H16" t="s">
        <v>76</v>
      </c>
      <c r="I16" t="s">
        <v>81</v>
      </c>
      <c r="J16" t="s">
        <v>78</v>
      </c>
      <c r="K16" t="s">
        <v>100</v>
      </c>
      <c r="L16" t="s">
        <v>89</v>
      </c>
      <c r="M16" t="s">
        <v>96</v>
      </c>
      <c r="N16" t="s">
        <v>91</v>
      </c>
      <c r="O16">
        <v>2</v>
      </c>
      <c r="P16">
        <v>2</v>
      </c>
      <c r="Q16">
        <v>4</v>
      </c>
      <c r="R16">
        <v>4</v>
      </c>
      <c r="S16">
        <v>2</v>
      </c>
      <c r="T16">
        <v>2</v>
      </c>
      <c r="U16">
        <v>3</v>
      </c>
      <c r="V16">
        <v>2</v>
      </c>
      <c r="W16">
        <v>2</v>
      </c>
      <c r="X16">
        <v>4</v>
      </c>
      <c r="Y16">
        <v>4</v>
      </c>
      <c r="Z16">
        <v>4</v>
      </c>
      <c r="AA16">
        <v>4</v>
      </c>
      <c r="AB16">
        <v>2</v>
      </c>
      <c r="AC16">
        <v>3</v>
      </c>
      <c r="AD16">
        <v>4</v>
      </c>
      <c r="AE16">
        <v>1</v>
      </c>
      <c r="AF16">
        <v>5</v>
      </c>
      <c r="AG16">
        <v>4</v>
      </c>
      <c r="AH16">
        <v>2</v>
      </c>
      <c r="AI16">
        <v>4</v>
      </c>
      <c r="AJ16">
        <v>1</v>
      </c>
      <c r="AK16">
        <v>1</v>
      </c>
      <c r="AL16">
        <v>1</v>
      </c>
      <c r="AM16">
        <v>1</v>
      </c>
      <c r="AN16">
        <v>4</v>
      </c>
      <c r="AO16">
        <v>4</v>
      </c>
      <c r="AP16">
        <v>2</v>
      </c>
      <c r="AQ16">
        <v>4</v>
      </c>
      <c r="AR16">
        <v>4</v>
      </c>
      <c r="AS16">
        <v>4</v>
      </c>
      <c r="AT16">
        <v>3</v>
      </c>
      <c r="AU16">
        <v>3</v>
      </c>
      <c r="AV16">
        <v>4</v>
      </c>
      <c r="AW16">
        <v>4</v>
      </c>
      <c r="AX16">
        <v>1</v>
      </c>
      <c r="AY16">
        <v>3</v>
      </c>
      <c r="AZ16">
        <v>4</v>
      </c>
      <c r="BA16">
        <v>4</v>
      </c>
      <c r="BB16">
        <v>2</v>
      </c>
      <c r="BC16">
        <v>4</v>
      </c>
      <c r="BD16">
        <v>4</v>
      </c>
      <c r="BE16">
        <v>3</v>
      </c>
      <c r="BF16">
        <v>3</v>
      </c>
      <c r="BG16">
        <v>3</v>
      </c>
      <c r="BH16">
        <v>1</v>
      </c>
      <c r="BI16">
        <v>4</v>
      </c>
      <c r="BJ16">
        <v>2.8</v>
      </c>
      <c r="BK16">
        <v>2.4</v>
      </c>
      <c r="BL16">
        <v>3.4</v>
      </c>
      <c r="BM16">
        <v>3.4</v>
      </c>
      <c r="BN16">
        <v>2.0666666666666664</v>
      </c>
      <c r="BO16">
        <v>2.6133333333333333</v>
      </c>
      <c r="BP16">
        <v>3.5226666666666668</v>
      </c>
      <c r="BQ16">
        <v>3</v>
      </c>
      <c r="BR16">
        <v>3.5</v>
      </c>
      <c r="BS16">
        <v>2.9166666666666665</v>
      </c>
    </row>
    <row r="17" spans="1:71" x14ac:dyDescent="0.3">
      <c r="A17">
        <v>16</v>
      </c>
      <c r="B17">
        <v>45939.476770833331</v>
      </c>
      <c r="C17">
        <v>45939.480740740742</v>
      </c>
      <c r="D17" t="s">
        <v>61</v>
      </c>
      <c r="F17" t="s">
        <v>75</v>
      </c>
      <c r="G17" t="s">
        <v>63</v>
      </c>
      <c r="H17" t="s">
        <v>80</v>
      </c>
      <c r="I17" t="s">
        <v>77</v>
      </c>
      <c r="J17" t="s">
        <v>78</v>
      </c>
      <c r="K17" t="s">
        <v>66</v>
      </c>
      <c r="L17" t="s">
        <v>67</v>
      </c>
      <c r="M17" t="s">
        <v>105</v>
      </c>
      <c r="N17" t="s">
        <v>91</v>
      </c>
      <c r="O17">
        <v>2</v>
      </c>
      <c r="P17">
        <v>4</v>
      </c>
      <c r="Q17">
        <v>4</v>
      </c>
      <c r="R17">
        <v>5</v>
      </c>
      <c r="S17">
        <v>4</v>
      </c>
      <c r="T17">
        <v>3</v>
      </c>
      <c r="U17">
        <v>3</v>
      </c>
      <c r="V17">
        <v>4</v>
      </c>
      <c r="W17">
        <v>3</v>
      </c>
      <c r="X17">
        <v>4</v>
      </c>
      <c r="Y17">
        <v>4</v>
      </c>
      <c r="Z17">
        <v>2</v>
      </c>
      <c r="AA17">
        <v>4</v>
      </c>
      <c r="AB17">
        <v>2</v>
      </c>
      <c r="AC17">
        <v>3</v>
      </c>
      <c r="AD17">
        <v>4</v>
      </c>
      <c r="AE17">
        <v>2</v>
      </c>
      <c r="AF17">
        <v>4</v>
      </c>
      <c r="AG17">
        <v>3</v>
      </c>
      <c r="AH17">
        <v>4</v>
      </c>
      <c r="AI17">
        <v>4</v>
      </c>
      <c r="AJ17">
        <v>4</v>
      </c>
      <c r="AK17">
        <v>4</v>
      </c>
      <c r="AL17">
        <v>2</v>
      </c>
      <c r="AM17">
        <v>2</v>
      </c>
      <c r="AN17">
        <v>4</v>
      </c>
      <c r="AO17">
        <v>4</v>
      </c>
      <c r="AP17">
        <v>2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2</v>
      </c>
      <c r="AY17">
        <v>4</v>
      </c>
      <c r="AZ17">
        <v>3</v>
      </c>
      <c r="BA17">
        <v>3</v>
      </c>
      <c r="BB17">
        <v>2</v>
      </c>
      <c r="BC17">
        <v>3</v>
      </c>
      <c r="BD17">
        <v>4</v>
      </c>
      <c r="BE17">
        <v>2</v>
      </c>
      <c r="BF17">
        <v>3</v>
      </c>
      <c r="BG17">
        <v>3</v>
      </c>
      <c r="BH17">
        <v>1</v>
      </c>
      <c r="BI17">
        <v>4</v>
      </c>
      <c r="BJ17">
        <v>3.8</v>
      </c>
      <c r="BK17">
        <v>3.4</v>
      </c>
      <c r="BL17">
        <v>3.2333333333333334</v>
      </c>
      <c r="BM17">
        <v>3.2055555555555557</v>
      </c>
      <c r="BN17">
        <v>3.5342592592592594</v>
      </c>
      <c r="BO17">
        <v>3.106851851851852</v>
      </c>
      <c r="BP17">
        <v>3.8213703703703703</v>
      </c>
      <c r="BQ17">
        <v>3.6</v>
      </c>
      <c r="BR17">
        <v>3.1</v>
      </c>
      <c r="BS17">
        <v>2.6833333333333336</v>
      </c>
    </row>
    <row r="18" spans="1:71" x14ac:dyDescent="0.3">
      <c r="A18">
        <v>17</v>
      </c>
      <c r="B18">
        <v>45947.743101851855</v>
      </c>
      <c r="C18">
        <v>45947.748807870368</v>
      </c>
      <c r="D18" t="s">
        <v>61</v>
      </c>
      <c r="F18" t="s">
        <v>62</v>
      </c>
      <c r="G18" t="s">
        <v>63</v>
      </c>
      <c r="H18" t="s">
        <v>88</v>
      </c>
      <c r="I18" t="s">
        <v>77</v>
      </c>
      <c r="J18" t="s">
        <v>82</v>
      </c>
      <c r="K18" t="s">
        <v>66</v>
      </c>
      <c r="L18" t="s">
        <v>106</v>
      </c>
      <c r="M18" t="s">
        <v>107</v>
      </c>
      <c r="N18" t="s">
        <v>91</v>
      </c>
      <c r="O18">
        <v>2</v>
      </c>
      <c r="P18">
        <v>1</v>
      </c>
      <c r="Q18">
        <v>4</v>
      </c>
      <c r="R18">
        <v>4</v>
      </c>
      <c r="S18">
        <v>3</v>
      </c>
      <c r="T18">
        <v>4</v>
      </c>
      <c r="U18">
        <v>4</v>
      </c>
      <c r="V18">
        <v>3</v>
      </c>
      <c r="W18">
        <v>4</v>
      </c>
      <c r="X18">
        <v>2</v>
      </c>
      <c r="Y18">
        <v>3</v>
      </c>
      <c r="Z18">
        <v>2</v>
      </c>
      <c r="AA18">
        <v>4</v>
      </c>
      <c r="AB18">
        <v>2</v>
      </c>
      <c r="AC18">
        <v>4</v>
      </c>
      <c r="AD18">
        <v>4</v>
      </c>
      <c r="AE18">
        <v>2</v>
      </c>
      <c r="AF18">
        <v>2</v>
      </c>
      <c r="AG18">
        <v>4</v>
      </c>
      <c r="AH18">
        <v>4</v>
      </c>
      <c r="AI18">
        <v>2</v>
      </c>
      <c r="AJ18">
        <v>3</v>
      </c>
      <c r="AK18">
        <v>2</v>
      </c>
      <c r="AL18">
        <v>2</v>
      </c>
      <c r="AM18">
        <v>2</v>
      </c>
      <c r="AN18">
        <v>4</v>
      </c>
      <c r="AO18">
        <v>4</v>
      </c>
      <c r="AP18">
        <v>2</v>
      </c>
      <c r="AQ18">
        <v>4</v>
      </c>
      <c r="AR18">
        <v>4</v>
      </c>
      <c r="AS18">
        <v>4</v>
      </c>
      <c r="AT18">
        <v>3</v>
      </c>
      <c r="AU18">
        <v>4</v>
      </c>
      <c r="AV18">
        <v>2</v>
      </c>
      <c r="AW18">
        <v>2</v>
      </c>
      <c r="AX18">
        <v>3</v>
      </c>
      <c r="AY18">
        <v>3</v>
      </c>
      <c r="AZ18">
        <v>2</v>
      </c>
      <c r="BA18">
        <v>2</v>
      </c>
      <c r="BB18">
        <v>2</v>
      </c>
      <c r="BC18">
        <v>4</v>
      </c>
      <c r="BD18">
        <v>3</v>
      </c>
      <c r="BE18">
        <v>4</v>
      </c>
      <c r="BF18">
        <v>4</v>
      </c>
      <c r="BG18">
        <v>2</v>
      </c>
      <c r="BH18">
        <v>2</v>
      </c>
      <c r="BI18">
        <v>4</v>
      </c>
      <c r="BJ18">
        <v>2.8</v>
      </c>
      <c r="BK18">
        <v>3.6</v>
      </c>
      <c r="BL18">
        <v>2.7666666666666666</v>
      </c>
      <c r="BM18">
        <v>3.1277777777777778</v>
      </c>
      <c r="BN18">
        <v>2.6879629629629629</v>
      </c>
      <c r="BO18">
        <v>2.9375925925925928</v>
      </c>
      <c r="BP18">
        <v>3.5875185185185186</v>
      </c>
      <c r="BQ18">
        <v>2.8</v>
      </c>
      <c r="BR18">
        <v>2.6333333333333333</v>
      </c>
      <c r="BS18">
        <v>3.1055555555555556</v>
      </c>
    </row>
    <row r="19" spans="1:71" x14ac:dyDescent="0.3">
      <c r="A19">
        <v>18</v>
      </c>
      <c r="B19">
        <v>45947.768738425926</v>
      </c>
      <c r="C19">
        <v>45947.772465277776</v>
      </c>
      <c r="D19" t="s">
        <v>61</v>
      </c>
      <c r="F19" t="s">
        <v>86</v>
      </c>
      <c r="G19" t="s">
        <v>63</v>
      </c>
      <c r="H19" t="s">
        <v>88</v>
      </c>
      <c r="I19" t="s">
        <v>77</v>
      </c>
      <c r="J19" t="s">
        <v>78</v>
      </c>
      <c r="K19" t="s">
        <v>66</v>
      </c>
      <c r="L19" t="s">
        <v>67</v>
      </c>
      <c r="M19" t="s">
        <v>108</v>
      </c>
      <c r="O19">
        <v>2</v>
      </c>
      <c r="P19">
        <v>3</v>
      </c>
      <c r="Q19">
        <v>3</v>
      </c>
      <c r="R19">
        <v>4</v>
      </c>
      <c r="S19">
        <v>3</v>
      </c>
      <c r="T19">
        <v>1</v>
      </c>
      <c r="U19">
        <v>1</v>
      </c>
      <c r="V19">
        <v>1</v>
      </c>
      <c r="W19">
        <v>1</v>
      </c>
      <c r="X19">
        <v>3</v>
      </c>
      <c r="Y19">
        <v>1</v>
      </c>
      <c r="Z19">
        <v>1</v>
      </c>
      <c r="AA19">
        <v>3</v>
      </c>
      <c r="AB19">
        <v>1</v>
      </c>
      <c r="AC19">
        <v>2</v>
      </c>
      <c r="AD19">
        <v>2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4</v>
      </c>
      <c r="AO19">
        <v>4</v>
      </c>
      <c r="AP19">
        <v>1</v>
      </c>
      <c r="AQ19">
        <v>4</v>
      </c>
      <c r="AR19">
        <v>3</v>
      </c>
      <c r="AS19">
        <v>3</v>
      </c>
      <c r="AT19">
        <v>2</v>
      </c>
      <c r="AU19">
        <v>1</v>
      </c>
      <c r="AV19">
        <v>1</v>
      </c>
      <c r="AW19">
        <v>1</v>
      </c>
      <c r="AX19">
        <v>1</v>
      </c>
      <c r="AY19">
        <v>3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3</v>
      </c>
      <c r="BF19">
        <v>3</v>
      </c>
      <c r="BG19">
        <v>3</v>
      </c>
      <c r="BH19">
        <v>1</v>
      </c>
      <c r="BI19">
        <v>3</v>
      </c>
      <c r="BJ19">
        <v>3</v>
      </c>
      <c r="BK19">
        <v>1.4</v>
      </c>
      <c r="BL19">
        <v>1.7333333333333334</v>
      </c>
      <c r="BM19">
        <v>1.4555555555555555</v>
      </c>
      <c r="BN19">
        <v>1.075925925925926</v>
      </c>
      <c r="BO19">
        <v>2.2151851851851854</v>
      </c>
      <c r="BP19">
        <v>2.8430370370370373</v>
      </c>
      <c r="BQ19">
        <v>1.4</v>
      </c>
      <c r="BR19">
        <v>1.0666666666666667</v>
      </c>
      <c r="BS19">
        <v>2.3444444444444446</v>
      </c>
    </row>
    <row r="20" spans="1:71" x14ac:dyDescent="0.3">
      <c r="A20">
        <v>19</v>
      </c>
      <c r="B20">
        <v>45947.881736111114</v>
      </c>
      <c r="C20">
        <v>45947.894606481481</v>
      </c>
      <c r="D20" t="s">
        <v>61</v>
      </c>
      <c r="F20" t="s">
        <v>109</v>
      </c>
      <c r="G20" t="s">
        <v>65</v>
      </c>
      <c r="H20" t="s">
        <v>76</v>
      </c>
      <c r="I20" t="s">
        <v>77</v>
      </c>
      <c r="J20" t="s">
        <v>65</v>
      </c>
      <c r="K20" t="s">
        <v>66</v>
      </c>
      <c r="L20" t="s">
        <v>110</v>
      </c>
      <c r="M20" t="s">
        <v>96</v>
      </c>
      <c r="N20" t="s">
        <v>91</v>
      </c>
      <c r="O20">
        <v>2</v>
      </c>
      <c r="P20">
        <v>2</v>
      </c>
      <c r="Q20">
        <v>3</v>
      </c>
      <c r="R20">
        <v>4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1</v>
      </c>
      <c r="Z20">
        <v>1</v>
      </c>
      <c r="AA20">
        <v>1</v>
      </c>
      <c r="AB20">
        <v>3</v>
      </c>
      <c r="AC20">
        <v>3</v>
      </c>
      <c r="AD20">
        <v>4</v>
      </c>
      <c r="AE20">
        <v>4</v>
      </c>
      <c r="AF20">
        <v>3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3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3</v>
      </c>
      <c r="AZ20">
        <v>1</v>
      </c>
      <c r="BA20">
        <v>1</v>
      </c>
      <c r="BB20">
        <v>2</v>
      </c>
      <c r="BC20">
        <v>3</v>
      </c>
      <c r="BD20">
        <v>3</v>
      </c>
      <c r="BE20">
        <v>4</v>
      </c>
      <c r="BF20">
        <v>3</v>
      </c>
      <c r="BG20">
        <v>3</v>
      </c>
      <c r="BH20">
        <v>3</v>
      </c>
      <c r="BI20">
        <v>4</v>
      </c>
      <c r="BJ20">
        <v>2.8</v>
      </c>
      <c r="BK20">
        <v>3</v>
      </c>
      <c r="BL20">
        <v>2</v>
      </c>
      <c r="BM20">
        <v>3.333333333333333</v>
      </c>
      <c r="BN20">
        <v>3.7222222222222223</v>
      </c>
      <c r="BO20">
        <v>3.9444444444444446</v>
      </c>
      <c r="BP20">
        <v>3.9888888888888889</v>
      </c>
      <c r="BQ20">
        <v>3.8</v>
      </c>
      <c r="BR20">
        <v>2.2999999999999998</v>
      </c>
      <c r="BS20">
        <v>3.2166666666666668</v>
      </c>
    </row>
    <row r="21" spans="1:71" x14ac:dyDescent="0.3">
      <c r="A21">
        <v>20</v>
      </c>
      <c r="B21">
        <v>45947.895486111112</v>
      </c>
      <c r="C21">
        <v>45947.901469907411</v>
      </c>
      <c r="D21" t="s">
        <v>61</v>
      </c>
      <c r="F21" t="s">
        <v>75</v>
      </c>
      <c r="G21" t="s">
        <v>87</v>
      </c>
      <c r="H21" t="s">
        <v>97</v>
      </c>
      <c r="I21" t="s">
        <v>81</v>
      </c>
      <c r="J21" t="s">
        <v>82</v>
      </c>
      <c r="K21" t="s">
        <v>100</v>
      </c>
      <c r="L21" t="s">
        <v>65</v>
      </c>
      <c r="M21" t="s">
        <v>111</v>
      </c>
      <c r="N21" t="s">
        <v>91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3</v>
      </c>
      <c r="Z21">
        <v>4</v>
      </c>
      <c r="AA21">
        <v>3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5</v>
      </c>
      <c r="AM21">
        <v>4</v>
      </c>
      <c r="AN21">
        <v>4</v>
      </c>
      <c r="AO21">
        <v>4</v>
      </c>
      <c r="AP21">
        <v>4</v>
      </c>
      <c r="AQ21">
        <v>4</v>
      </c>
      <c r="AR21">
        <v>4</v>
      </c>
      <c r="AS21">
        <v>4</v>
      </c>
      <c r="AT21">
        <v>4</v>
      </c>
      <c r="AU21">
        <v>4</v>
      </c>
      <c r="AV21">
        <v>4</v>
      </c>
      <c r="AW21">
        <v>4</v>
      </c>
      <c r="AX21">
        <v>4</v>
      </c>
      <c r="AY21">
        <v>4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4</v>
      </c>
      <c r="BF21">
        <v>3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3.6666666666666665</v>
      </c>
      <c r="BM21">
        <v>3.9444444444444446</v>
      </c>
      <c r="BN21">
        <v>4.1574074074074074</v>
      </c>
      <c r="BO21">
        <v>4.0314814814814817</v>
      </c>
      <c r="BP21">
        <v>4.0062962962962967</v>
      </c>
      <c r="BQ21">
        <v>4</v>
      </c>
      <c r="BR21">
        <v>3.1666666666666665</v>
      </c>
      <c r="BS21">
        <v>3.6944444444444446</v>
      </c>
    </row>
    <row r="22" spans="1:71" x14ac:dyDescent="0.3">
      <c r="A22">
        <v>21</v>
      </c>
      <c r="B22">
        <v>45948.209305555552</v>
      </c>
      <c r="C22">
        <v>45948.215381944443</v>
      </c>
      <c r="D22" t="s">
        <v>61</v>
      </c>
      <c r="F22" t="s">
        <v>84</v>
      </c>
      <c r="G22" t="s">
        <v>65</v>
      </c>
      <c r="H22" t="s">
        <v>97</v>
      </c>
      <c r="I22" t="s">
        <v>81</v>
      </c>
      <c r="J22" t="s">
        <v>82</v>
      </c>
      <c r="K22" t="s">
        <v>66</v>
      </c>
      <c r="L22" t="s">
        <v>83</v>
      </c>
      <c r="M22" t="s">
        <v>94</v>
      </c>
      <c r="N22" t="s">
        <v>91</v>
      </c>
      <c r="O22">
        <v>4</v>
      </c>
      <c r="P22">
        <v>3</v>
      </c>
      <c r="Q22">
        <v>2</v>
      </c>
      <c r="R22">
        <v>3</v>
      </c>
      <c r="S22">
        <v>3</v>
      </c>
      <c r="T22">
        <v>3</v>
      </c>
      <c r="U22">
        <v>3</v>
      </c>
      <c r="V22">
        <v>2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4</v>
      </c>
      <c r="AD22">
        <v>4</v>
      </c>
      <c r="AE22">
        <v>4</v>
      </c>
      <c r="AF22">
        <v>3</v>
      </c>
      <c r="AG22">
        <v>3</v>
      </c>
      <c r="AH22">
        <v>2</v>
      </c>
      <c r="AI22">
        <v>3</v>
      </c>
      <c r="AJ22">
        <v>4</v>
      </c>
      <c r="AK22">
        <v>4</v>
      </c>
      <c r="AL22">
        <v>3</v>
      </c>
      <c r="AM22">
        <v>3</v>
      </c>
      <c r="AN22">
        <v>4</v>
      </c>
      <c r="AO22">
        <v>4</v>
      </c>
      <c r="AP22">
        <v>2</v>
      </c>
      <c r="AQ22">
        <v>3</v>
      </c>
      <c r="AR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3</v>
      </c>
      <c r="BD22">
        <v>3</v>
      </c>
      <c r="BE22">
        <v>3</v>
      </c>
      <c r="BF22">
        <v>2</v>
      </c>
      <c r="BG22">
        <v>3</v>
      </c>
      <c r="BH22">
        <v>3</v>
      </c>
      <c r="BI22">
        <v>4</v>
      </c>
      <c r="BJ22">
        <v>3</v>
      </c>
      <c r="BK22">
        <v>2.6</v>
      </c>
      <c r="BL22">
        <v>2.9333333333333336</v>
      </c>
      <c r="BM22">
        <v>3.4888888888888889</v>
      </c>
      <c r="BN22">
        <v>3.248148148148148</v>
      </c>
      <c r="BO22">
        <v>3.2496296296296294</v>
      </c>
      <c r="BP22">
        <v>2.4499259259259256</v>
      </c>
      <c r="BQ22">
        <v>2</v>
      </c>
      <c r="BR22">
        <v>2.3333333333333335</v>
      </c>
      <c r="BS22">
        <v>2.8888888888888888</v>
      </c>
    </row>
    <row r="23" spans="1:71" x14ac:dyDescent="0.3">
      <c r="A23">
        <v>22</v>
      </c>
      <c r="B23">
        <v>45948.350092592591</v>
      </c>
      <c r="C23">
        <v>45948.353576388887</v>
      </c>
      <c r="D23" t="s">
        <v>61</v>
      </c>
      <c r="F23" t="s">
        <v>95</v>
      </c>
      <c r="G23" t="s">
        <v>63</v>
      </c>
      <c r="H23" t="s">
        <v>88</v>
      </c>
      <c r="I23" t="s">
        <v>77</v>
      </c>
      <c r="J23" t="s">
        <v>93</v>
      </c>
      <c r="K23" t="s">
        <v>66</v>
      </c>
      <c r="L23" t="s">
        <v>106</v>
      </c>
      <c r="M23" t="s">
        <v>90</v>
      </c>
      <c r="N23" t="s">
        <v>91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3</v>
      </c>
      <c r="Z23">
        <v>3</v>
      </c>
      <c r="AA23">
        <v>3</v>
      </c>
      <c r="AB23">
        <v>1</v>
      </c>
      <c r="AC23">
        <v>4</v>
      </c>
      <c r="AD23">
        <v>4</v>
      </c>
      <c r="AE23">
        <v>3</v>
      </c>
      <c r="AF23">
        <v>3</v>
      </c>
      <c r="AG23">
        <v>3</v>
      </c>
      <c r="AH23">
        <v>3</v>
      </c>
      <c r="AI23">
        <v>4</v>
      </c>
      <c r="AJ23">
        <v>4</v>
      </c>
      <c r="AK23">
        <v>3</v>
      </c>
      <c r="AL23">
        <v>2</v>
      </c>
      <c r="AM23">
        <v>2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3</v>
      </c>
      <c r="AW23">
        <v>3</v>
      </c>
      <c r="AX23">
        <v>2</v>
      </c>
      <c r="AY23">
        <v>3</v>
      </c>
      <c r="AZ23">
        <v>1</v>
      </c>
      <c r="BA23">
        <v>1</v>
      </c>
      <c r="BB23">
        <v>1</v>
      </c>
      <c r="BC23">
        <v>2</v>
      </c>
      <c r="BD23">
        <v>2</v>
      </c>
      <c r="BE23">
        <v>4</v>
      </c>
      <c r="BF23">
        <v>1</v>
      </c>
      <c r="BG23">
        <v>2</v>
      </c>
      <c r="BH23">
        <v>1</v>
      </c>
      <c r="BI23">
        <v>4</v>
      </c>
      <c r="BJ23">
        <v>4</v>
      </c>
      <c r="BK23">
        <v>3.8</v>
      </c>
      <c r="BL23">
        <v>2.9666666666666668</v>
      </c>
      <c r="BM23">
        <v>3.3277777777777779</v>
      </c>
      <c r="BN23">
        <v>3.2212962962962965</v>
      </c>
      <c r="BO23">
        <v>3.4442592592592591</v>
      </c>
      <c r="BP23">
        <v>3.888851851851852</v>
      </c>
      <c r="BQ23">
        <v>3</v>
      </c>
      <c r="BR23">
        <v>1.6666666666666667</v>
      </c>
      <c r="BS23">
        <v>2.2777777777777777</v>
      </c>
    </row>
    <row r="24" spans="1:71" x14ac:dyDescent="0.3">
      <c r="A24">
        <v>23</v>
      </c>
      <c r="B24">
        <v>45948.625416666669</v>
      </c>
      <c r="C24">
        <v>45948.628657407404</v>
      </c>
      <c r="D24" t="s">
        <v>61</v>
      </c>
      <c r="F24" t="s">
        <v>95</v>
      </c>
      <c r="G24" t="s">
        <v>63</v>
      </c>
      <c r="H24" t="s">
        <v>76</v>
      </c>
      <c r="I24" t="s">
        <v>77</v>
      </c>
      <c r="J24" t="s">
        <v>93</v>
      </c>
      <c r="K24" t="s">
        <v>66</v>
      </c>
      <c r="L24" t="s">
        <v>106</v>
      </c>
      <c r="M24" t="s">
        <v>96</v>
      </c>
      <c r="N24" t="s">
        <v>91</v>
      </c>
      <c r="O24">
        <v>4</v>
      </c>
      <c r="P24">
        <v>2</v>
      </c>
      <c r="Q24">
        <v>4</v>
      </c>
      <c r="R24">
        <v>2</v>
      </c>
      <c r="S24">
        <v>4</v>
      </c>
      <c r="T24">
        <v>4</v>
      </c>
      <c r="U24">
        <v>4</v>
      </c>
      <c r="V24">
        <v>4</v>
      </c>
      <c r="W24">
        <v>4</v>
      </c>
      <c r="X24">
        <v>3</v>
      </c>
      <c r="Y24">
        <v>3</v>
      </c>
      <c r="Z24">
        <v>2</v>
      </c>
      <c r="AA24">
        <v>3</v>
      </c>
      <c r="AB24">
        <v>2</v>
      </c>
      <c r="AC24">
        <v>4</v>
      </c>
      <c r="AD24">
        <v>4</v>
      </c>
      <c r="AE24">
        <v>2</v>
      </c>
      <c r="AF24">
        <v>3</v>
      </c>
      <c r="AG24">
        <v>3</v>
      </c>
      <c r="AH24">
        <v>4</v>
      </c>
      <c r="AI24">
        <v>4</v>
      </c>
      <c r="AJ24">
        <v>3</v>
      </c>
      <c r="AK24">
        <v>2</v>
      </c>
      <c r="AL24">
        <v>2</v>
      </c>
      <c r="AM24">
        <v>4</v>
      </c>
      <c r="AN24">
        <v>4</v>
      </c>
      <c r="AO24">
        <v>4</v>
      </c>
      <c r="AP24">
        <v>3</v>
      </c>
      <c r="AQ24">
        <v>4</v>
      </c>
      <c r="AR24">
        <v>2</v>
      </c>
      <c r="AS24">
        <v>4</v>
      </c>
      <c r="AT24">
        <v>4</v>
      </c>
      <c r="AU24">
        <v>3</v>
      </c>
      <c r="AV24">
        <v>3</v>
      </c>
      <c r="AW24">
        <v>3</v>
      </c>
      <c r="AX24">
        <v>2</v>
      </c>
      <c r="AY24">
        <v>4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2</v>
      </c>
      <c r="BI24">
        <v>4</v>
      </c>
      <c r="BJ24">
        <v>3.2</v>
      </c>
      <c r="BK24">
        <v>4</v>
      </c>
      <c r="BL24">
        <v>2.833333333333333</v>
      </c>
      <c r="BM24">
        <v>3.1388888888888888</v>
      </c>
      <c r="BN24">
        <v>3.0231481481481479</v>
      </c>
      <c r="BO24">
        <v>3.6046296296296294</v>
      </c>
      <c r="BP24">
        <v>3.5209259259259258</v>
      </c>
      <c r="BQ24">
        <v>3</v>
      </c>
      <c r="BR24">
        <v>2.1666666666666665</v>
      </c>
      <c r="BS24">
        <v>2.3611111111111112</v>
      </c>
    </row>
    <row r="25" spans="1:71" x14ac:dyDescent="0.3">
      <c r="A25">
        <v>24</v>
      </c>
      <c r="B25">
        <v>45950.359293981484</v>
      </c>
      <c r="C25">
        <v>45950.362893518519</v>
      </c>
      <c r="D25" t="s">
        <v>61</v>
      </c>
      <c r="F25" t="s">
        <v>95</v>
      </c>
      <c r="G25" t="s">
        <v>87</v>
      </c>
      <c r="H25" t="s">
        <v>88</v>
      </c>
      <c r="I25" t="s">
        <v>77</v>
      </c>
      <c r="J25" t="s">
        <v>93</v>
      </c>
      <c r="K25" t="s">
        <v>66</v>
      </c>
      <c r="L25" t="s">
        <v>106</v>
      </c>
      <c r="M25" t="s">
        <v>107</v>
      </c>
      <c r="N25" t="s">
        <v>91</v>
      </c>
      <c r="O25">
        <v>4</v>
      </c>
      <c r="P25">
        <v>4</v>
      </c>
      <c r="Q25">
        <v>4</v>
      </c>
      <c r="R25">
        <v>1</v>
      </c>
      <c r="S25">
        <v>4</v>
      </c>
      <c r="T25">
        <v>4</v>
      </c>
      <c r="U25">
        <v>2</v>
      </c>
      <c r="V25">
        <v>2</v>
      </c>
      <c r="W25">
        <v>2</v>
      </c>
      <c r="X25">
        <v>2</v>
      </c>
      <c r="Y25">
        <v>4</v>
      </c>
      <c r="Z25">
        <v>4</v>
      </c>
      <c r="AA25">
        <v>4</v>
      </c>
      <c r="AB25">
        <v>2</v>
      </c>
      <c r="AC25">
        <v>4</v>
      </c>
      <c r="AD25">
        <v>4</v>
      </c>
      <c r="AE25">
        <v>2</v>
      </c>
      <c r="AF25">
        <v>2</v>
      </c>
      <c r="AG25">
        <v>2</v>
      </c>
      <c r="AH25">
        <v>2</v>
      </c>
      <c r="AI25">
        <v>3</v>
      </c>
      <c r="AJ25">
        <v>2</v>
      </c>
      <c r="AK25">
        <v>2</v>
      </c>
      <c r="AL25">
        <v>2</v>
      </c>
      <c r="AM25">
        <v>2</v>
      </c>
      <c r="AN25">
        <v>4</v>
      </c>
      <c r="AO25">
        <v>4</v>
      </c>
      <c r="AP25">
        <v>3</v>
      </c>
      <c r="AQ25">
        <v>4</v>
      </c>
      <c r="AR25">
        <v>4</v>
      </c>
      <c r="AS25">
        <v>4</v>
      </c>
      <c r="AT25">
        <v>4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3</v>
      </c>
      <c r="BA25">
        <v>3</v>
      </c>
      <c r="BB25">
        <v>2</v>
      </c>
      <c r="BC25">
        <v>3</v>
      </c>
      <c r="BD25">
        <v>3</v>
      </c>
      <c r="BE25">
        <v>2</v>
      </c>
      <c r="BF25">
        <v>3</v>
      </c>
      <c r="BG25">
        <v>2</v>
      </c>
      <c r="BH25">
        <v>2</v>
      </c>
      <c r="BI25">
        <v>2</v>
      </c>
      <c r="BJ25">
        <v>3.4</v>
      </c>
      <c r="BK25">
        <v>2.4</v>
      </c>
      <c r="BL25">
        <v>3.0666666666666664</v>
      </c>
      <c r="BM25">
        <v>2.8444444444444446</v>
      </c>
      <c r="BN25">
        <v>2.3074074074074074</v>
      </c>
      <c r="BO25">
        <v>3.0614814814814815</v>
      </c>
      <c r="BP25">
        <v>3.8122962962962963</v>
      </c>
      <c r="BQ25">
        <v>2</v>
      </c>
      <c r="BR25">
        <v>2.6666666666666665</v>
      </c>
      <c r="BS25">
        <v>2.2777777777777777</v>
      </c>
    </row>
    <row r="26" spans="1:71" x14ac:dyDescent="0.3">
      <c r="A26">
        <v>25</v>
      </c>
      <c r="B26">
        <v>45961.505590277775</v>
      </c>
      <c r="C26">
        <v>45961.509189814817</v>
      </c>
      <c r="D26" t="s">
        <v>61</v>
      </c>
      <c r="F26" t="s">
        <v>84</v>
      </c>
      <c r="G26" t="s">
        <v>63</v>
      </c>
      <c r="H26" t="s">
        <v>76</v>
      </c>
      <c r="I26" t="s">
        <v>92</v>
      </c>
      <c r="J26" t="s">
        <v>82</v>
      </c>
      <c r="K26" t="s">
        <v>66</v>
      </c>
      <c r="L26" t="s">
        <v>89</v>
      </c>
      <c r="M26" t="s">
        <v>96</v>
      </c>
      <c r="N26" t="s">
        <v>91</v>
      </c>
      <c r="O26">
        <v>3</v>
      </c>
      <c r="P26">
        <v>3</v>
      </c>
      <c r="Q26">
        <v>3</v>
      </c>
      <c r="R26">
        <v>4</v>
      </c>
      <c r="S26">
        <v>3</v>
      </c>
      <c r="T26">
        <v>3</v>
      </c>
      <c r="U26">
        <v>4</v>
      </c>
      <c r="V26">
        <v>3</v>
      </c>
      <c r="W26">
        <v>3</v>
      </c>
      <c r="X26">
        <v>3</v>
      </c>
      <c r="Y26">
        <v>3</v>
      </c>
      <c r="Z26">
        <v>4</v>
      </c>
      <c r="AA26">
        <v>4</v>
      </c>
      <c r="AB26">
        <v>3</v>
      </c>
      <c r="AC26">
        <v>4</v>
      </c>
      <c r="AD26">
        <v>4</v>
      </c>
      <c r="AE26">
        <v>4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2</v>
      </c>
      <c r="AM26">
        <v>2</v>
      </c>
      <c r="AN26">
        <v>4</v>
      </c>
      <c r="AO26">
        <v>4</v>
      </c>
      <c r="AP26">
        <v>2</v>
      </c>
      <c r="AQ26">
        <v>4</v>
      </c>
      <c r="AR26">
        <v>4</v>
      </c>
      <c r="AS26">
        <v>4</v>
      </c>
      <c r="AT26">
        <v>3</v>
      </c>
      <c r="AU26">
        <v>3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4</v>
      </c>
      <c r="BC26">
        <v>3</v>
      </c>
      <c r="BD26">
        <v>4</v>
      </c>
      <c r="BE26">
        <v>3</v>
      </c>
      <c r="BF26">
        <v>3</v>
      </c>
      <c r="BG26">
        <v>3</v>
      </c>
      <c r="BH26">
        <v>3</v>
      </c>
      <c r="BI26">
        <v>3</v>
      </c>
      <c r="BJ26">
        <v>3.2</v>
      </c>
      <c r="BK26">
        <v>3.2</v>
      </c>
      <c r="BL26">
        <v>3.3666666666666667</v>
      </c>
      <c r="BM26">
        <v>3.5611111111111109</v>
      </c>
      <c r="BN26">
        <v>2.9268518518518518</v>
      </c>
      <c r="BO26">
        <v>2.9853703703703705</v>
      </c>
      <c r="BP26">
        <v>3.5970740740740741</v>
      </c>
      <c r="BQ26">
        <v>3</v>
      </c>
      <c r="BR26">
        <v>3.3333333333333335</v>
      </c>
      <c r="BS26">
        <v>3.0555555555555554</v>
      </c>
    </row>
    <row r="27" spans="1:71" x14ac:dyDescent="0.3">
      <c r="A27">
        <v>26</v>
      </c>
      <c r="B27">
        <v>45979.602280092593</v>
      </c>
      <c r="C27">
        <v>45979.604768518519</v>
      </c>
      <c r="D27" t="s">
        <v>61</v>
      </c>
      <c r="F27" t="s">
        <v>75</v>
      </c>
      <c r="G27" t="s">
        <v>87</v>
      </c>
      <c r="H27" t="s">
        <v>76</v>
      </c>
      <c r="I27" t="s">
        <v>77</v>
      </c>
      <c r="J27" t="s">
        <v>78</v>
      </c>
      <c r="K27" t="s">
        <v>66</v>
      </c>
      <c r="L27" t="s">
        <v>67</v>
      </c>
      <c r="M27" t="s">
        <v>112</v>
      </c>
      <c r="N27" t="s">
        <v>91</v>
      </c>
      <c r="O27">
        <v>1</v>
      </c>
      <c r="P27">
        <v>2</v>
      </c>
      <c r="Q27">
        <v>4</v>
      </c>
      <c r="R27">
        <v>5</v>
      </c>
      <c r="S27">
        <v>3</v>
      </c>
      <c r="T27">
        <v>4</v>
      </c>
      <c r="U27">
        <v>3</v>
      </c>
      <c r="V27">
        <v>5</v>
      </c>
      <c r="W27">
        <v>3</v>
      </c>
      <c r="X27">
        <v>5</v>
      </c>
      <c r="Y27">
        <v>5</v>
      </c>
      <c r="Z27">
        <v>3</v>
      </c>
      <c r="AA27">
        <v>4</v>
      </c>
      <c r="AB27">
        <v>1</v>
      </c>
      <c r="AC27">
        <v>5</v>
      </c>
      <c r="AD27">
        <v>5</v>
      </c>
      <c r="AE27">
        <v>3</v>
      </c>
      <c r="AF27">
        <v>2</v>
      </c>
      <c r="AG27">
        <v>4</v>
      </c>
      <c r="AH27">
        <v>4</v>
      </c>
      <c r="AI27">
        <v>4</v>
      </c>
      <c r="AJ27">
        <v>3</v>
      </c>
      <c r="AK27">
        <v>2</v>
      </c>
      <c r="AL27">
        <v>4</v>
      </c>
      <c r="AM27">
        <v>2</v>
      </c>
      <c r="AN27">
        <v>5</v>
      </c>
      <c r="AO27">
        <v>4</v>
      </c>
      <c r="AP27">
        <v>2</v>
      </c>
      <c r="AQ27">
        <v>5</v>
      </c>
      <c r="AR27">
        <v>5</v>
      </c>
      <c r="AS27">
        <v>5</v>
      </c>
      <c r="AT27">
        <v>5</v>
      </c>
      <c r="AU27">
        <v>3</v>
      </c>
      <c r="AV27">
        <v>4</v>
      </c>
      <c r="AW27">
        <v>3</v>
      </c>
      <c r="AX27">
        <v>2</v>
      </c>
      <c r="AY27">
        <v>4</v>
      </c>
      <c r="AZ27">
        <v>4</v>
      </c>
      <c r="BA27">
        <v>3</v>
      </c>
      <c r="BB27">
        <v>3</v>
      </c>
      <c r="BC27">
        <v>4</v>
      </c>
      <c r="BD27">
        <v>4</v>
      </c>
      <c r="BE27">
        <v>3</v>
      </c>
      <c r="BF27">
        <v>3</v>
      </c>
      <c r="BG27">
        <v>3</v>
      </c>
      <c r="BH27">
        <v>2</v>
      </c>
      <c r="BI27">
        <v>5</v>
      </c>
      <c r="BJ27">
        <v>3</v>
      </c>
      <c r="BK27">
        <v>3.8</v>
      </c>
      <c r="BL27">
        <v>3.6333333333333333</v>
      </c>
      <c r="BM27">
        <v>3.7722222222222221</v>
      </c>
      <c r="BN27">
        <v>3.462037037037037</v>
      </c>
      <c r="BO27">
        <v>3.2924074074074072</v>
      </c>
      <c r="BP27">
        <v>4.6584814814814814</v>
      </c>
      <c r="BQ27">
        <v>3.2</v>
      </c>
      <c r="BR27">
        <v>3.5333333333333332</v>
      </c>
      <c r="BS27">
        <v>3.2555555555555555</v>
      </c>
    </row>
    <row r="28" spans="1:71" x14ac:dyDescent="0.3">
      <c r="A28">
        <v>27</v>
      </c>
      <c r="B28">
        <v>45980.056805555556</v>
      </c>
      <c r="C28">
        <v>45980.059537037036</v>
      </c>
      <c r="D28" t="s">
        <v>61</v>
      </c>
      <c r="F28" t="s">
        <v>84</v>
      </c>
      <c r="G28" t="s">
        <v>63</v>
      </c>
      <c r="H28" t="s">
        <v>80</v>
      </c>
      <c r="I28" t="s">
        <v>92</v>
      </c>
      <c r="J28" t="s">
        <v>82</v>
      </c>
      <c r="K28" t="s">
        <v>66</v>
      </c>
      <c r="L28" t="s">
        <v>89</v>
      </c>
      <c r="M28" t="s">
        <v>94</v>
      </c>
      <c r="N28" t="s">
        <v>91</v>
      </c>
      <c r="O28">
        <v>2</v>
      </c>
      <c r="P28">
        <v>2</v>
      </c>
      <c r="Q28">
        <v>4</v>
      </c>
      <c r="R28">
        <v>5</v>
      </c>
      <c r="S28">
        <v>5</v>
      </c>
      <c r="T28">
        <v>3</v>
      </c>
      <c r="U28">
        <v>3</v>
      </c>
      <c r="V28">
        <v>3</v>
      </c>
      <c r="W28">
        <v>5</v>
      </c>
      <c r="X28">
        <v>5</v>
      </c>
      <c r="Y28">
        <v>5</v>
      </c>
      <c r="Z28">
        <v>5</v>
      </c>
      <c r="AA28">
        <v>5</v>
      </c>
      <c r="AB28">
        <v>3</v>
      </c>
      <c r="AC28">
        <v>5</v>
      </c>
      <c r="AD28">
        <v>5</v>
      </c>
      <c r="AE28">
        <v>4</v>
      </c>
      <c r="AF28">
        <v>4</v>
      </c>
      <c r="AG28">
        <v>4</v>
      </c>
      <c r="AH28">
        <v>4</v>
      </c>
      <c r="AI28">
        <v>3</v>
      </c>
      <c r="AJ28">
        <v>4</v>
      </c>
      <c r="AK28">
        <v>5</v>
      </c>
      <c r="AL28">
        <v>3</v>
      </c>
      <c r="AM28">
        <v>3</v>
      </c>
      <c r="AN28">
        <v>3</v>
      </c>
      <c r="AO28">
        <v>3</v>
      </c>
      <c r="AP28">
        <v>4</v>
      </c>
      <c r="AQ28">
        <v>4</v>
      </c>
      <c r="AR28">
        <v>5</v>
      </c>
      <c r="AS28">
        <v>5</v>
      </c>
      <c r="AT28">
        <v>5</v>
      </c>
      <c r="AU28">
        <v>5</v>
      </c>
      <c r="AV28">
        <v>5</v>
      </c>
      <c r="AX28">
        <v>4</v>
      </c>
      <c r="AY28">
        <v>4</v>
      </c>
      <c r="AZ28">
        <v>2</v>
      </c>
      <c r="BA28">
        <v>3</v>
      </c>
      <c r="BB28">
        <v>4</v>
      </c>
      <c r="BC28">
        <v>4</v>
      </c>
      <c r="BD28">
        <v>4</v>
      </c>
      <c r="BE28">
        <v>4</v>
      </c>
      <c r="BF28">
        <v>2</v>
      </c>
      <c r="BG28">
        <v>2</v>
      </c>
      <c r="BH28">
        <v>2</v>
      </c>
      <c r="BI28">
        <v>2</v>
      </c>
      <c r="BJ28">
        <v>3.6</v>
      </c>
      <c r="BK28">
        <v>3.6</v>
      </c>
      <c r="BL28">
        <v>4.4333333333333336</v>
      </c>
      <c r="BM28">
        <v>4.4055555555555559</v>
      </c>
      <c r="BN28">
        <v>3.9009259259259261</v>
      </c>
      <c r="BO28">
        <v>3.3801851851851854</v>
      </c>
      <c r="BP28">
        <v>4.4760370370370373</v>
      </c>
      <c r="BQ28">
        <v>4.5</v>
      </c>
      <c r="BR28">
        <v>3.5833333333333335</v>
      </c>
      <c r="BS28">
        <v>2.5972222222222223</v>
      </c>
    </row>
    <row r="29" spans="1:71" x14ac:dyDescent="0.3">
      <c r="A29">
        <v>28</v>
      </c>
      <c r="B29">
        <v>45981.483229166668</v>
      </c>
      <c r="C29">
        <v>45981.489432870374</v>
      </c>
      <c r="D29" t="s">
        <v>61</v>
      </c>
      <c r="F29" t="s">
        <v>75</v>
      </c>
      <c r="G29" t="s">
        <v>87</v>
      </c>
      <c r="H29" t="s">
        <v>80</v>
      </c>
      <c r="I29" t="s">
        <v>81</v>
      </c>
      <c r="J29" t="s">
        <v>82</v>
      </c>
      <c r="K29" t="s">
        <v>66</v>
      </c>
      <c r="L29" t="s">
        <v>89</v>
      </c>
      <c r="M29" t="s">
        <v>113</v>
      </c>
      <c r="N29" t="s">
        <v>91</v>
      </c>
      <c r="O29">
        <v>3</v>
      </c>
      <c r="P29">
        <v>3</v>
      </c>
      <c r="Q29">
        <v>4</v>
      </c>
      <c r="R29">
        <v>5</v>
      </c>
      <c r="S29">
        <v>4</v>
      </c>
      <c r="T29">
        <v>4</v>
      </c>
      <c r="U29">
        <v>4</v>
      </c>
      <c r="V29">
        <v>3</v>
      </c>
      <c r="W29">
        <v>3</v>
      </c>
      <c r="X29">
        <v>3</v>
      </c>
      <c r="Y29">
        <v>2</v>
      </c>
      <c r="Z29">
        <v>3</v>
      </c>
      <c r="AA29">
        <v>2</v>
      </c>
      <c r="AB29">
        <v>2</v>
      </c>
      <c r="AC29">
        <v>4</v>
      </c>
      <c r="AD29">
        <v>3</v>
      </c>
      <c r="AE29">
        <v>3</v>
      </c>
      <c r="AF29">
        <v>3</v>
      </c>
      <c r="AG29">
        <v>2</v>
      </c>
      <c r="AH29">
        <v>3</v>
      </c>
      <c r="AI29">
        <v>3</v>
      </c>
      <c r="AJ29">
        <v>3</v>
      </c>
      <c r="AK29">
        <v>3</v>
      </c>
      <c r="AL29">
        <v>2</v>
      </c>
      <c r="AM29">
        <v>2</v>
      </c>
      <c r="AN29">
        <v>4</v>
      </c>
      <c r="AO29">
        <v>4</v>
      </c>
      <c r="AP29">
        <v>3</v>
      </c>
      <c r="AQ29">
        <v>4</v>
      </c>
      <c r="AR29">
        <v>4</v>
      </c>
      <c r="AS29">
        <v>4</v>
      </c>
      <c r="AT29">
        <v>4</v>
      </c>
      <c r="AU29">
        <v>3</v>
      </c>
      <c r="AV29">
        <v>3</v>
      </c>
      <c r="AW29">
        <v>3</v>
      </c>
      <c r="AX29">
        <v>2</v>
      </c>
      <c r="AY29">
        <v>3</v>
      </c>
      <c r="AZ29">
        <v>2</v>
      </c>
      <c r="BA29">
        <v>3</v>
      </c>
      <c r="BB29">
        <v>2</v>
      </c>
      <c r="BC29">
        <v>2</v>
      </c>
      <c r="BD29">
        <v>3</v>
      </c>
      <c r="BE29">
        <v>4</v>
      </c>
      <c r="BF29">
        <v>3</v>
      </c>
      <c r="BG29">
        <v>3</v>
      </c>
      <c r="BH29">
        <v>3</v>
      </c>
      <c r="BI29">
        <v>3</v>
      </c>
      <c r="BJ29">
        <v>3.8</v>
      </c>
      <c r="BK29">
        <v>3.4</v>
      </c>
      <c r="BL29">
        <v>2.5666666666666664</v>
      </c>
      <c r="BM29">
        <v>2.9277777777777776</v>
      </c>
      <c r="BN29">
        <v>2.8212962962962962</v>
      </c>
      <c r="BO29">
        <v>3.1642592592592593</v>
      </c>
      <c r="BP29">
        <v>3.832851851851852</v>
      </c>
      <c r="BQ29">
        <v>2.8</v>
      </c>
      <c r="BR29">
        <v>2.4666666666666668</v>
      </c>
      <c r="BS29">
        <v>3.0777777777777779</v>
      </c>
    </row>
    <row r="30" spans="1:71" x14ac:dyDescent="0.3">
      <c r="A30">
        <v>29</v>
      </c>
      <c r="B30">
        <v>45982.553761574076</v>
      </c>
      <c r="C30">
        <v>45982.555787037039</v>
      </c>
      <c r="D30" t="s">
        <v>61</v>
      </c>
      <c r="F30" t="s">
        <v>95</v>
      </c>
      <c r="G30" t="s">
        <v>63</v>
      </c>
      <c r="H30" t="s">
        <v>97</v>
      </c>
      <c r="I30" t="s">
        <v>85</v>
      </c>
      <c r="J30" t="s">
        <v>104</v>
      </c>
      <c r="K30" t="s">
        <v>66</v>
      </c>
      <c r="L30" t="s">
        <v>67</v>
      </c>
      <c r="M30" t="s">
        <v>96</v>
      </c>
      <c r="N30" t="s">
        <v>99</v>
      </c>
      <c r="O30">
        <v>1</v>
      </c>
      <c r="P30">
        <v>1</v>
      </c>
      <c r="Q30">
        <v>3</v>
      </c>
      <c r="R30">
        <v>4</v>
      </c>
      <c r="S30">
        <v>3</v>
      </c>
      <c r="T30">
        <v>3</v>
      </c>
      <c r="U30">
        <v>3</v>
      </c>
      <c r="V30">
        <v>3</v>
      </c>
      <c r="W30">
        <v>3</v>
      </c>
      <c r="X30">
        <v>4</v>
      </c>
      <c r="Y30">
        <v>4</v>
      </c>
      <c r="Z30">
        <v>3</v>
      </c>
      <c r="AA30">
        <v>4</v>
      </c>
      <c r="AB30">
        <v>2</v>
      </c>
      <c r="AC30">
        <v>4</v>
      </c>
      <c r="AD30">
        <v>4</v>
      </c>
      <c r="AE30">
        <v>3</v>
      </c>
      <c r="AF30">
        <v>3</v>
      </c>
      <c r="AG30">
        <v>4</v>
      </c>
      <c r="AH30">
        <v>3</v>
      </c>
      <c r="AI30">
        <v>4</v>
      </c>
      <c r="AJ30">
        <v>4</v>
      </c>
      <c r="AK30">
        <v>4</v>
      </c>
      <c r="AL30">
        <v>2</v>
      </c>
      <c r="AM30">
        <v>2</v>
      </c>
      <c r="AN30">
        <v>4</v>
      </c>
      <c r="AO30">
        <v>4</v>
      </c>
      <c r="AP30">
        <v>3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>
        <v>2</v>
      </c>
      <c r="AY30">
        <v>4</v>
      </c>
      <c r="AZ30">
        <v>2</v>
      </c>
      <c r="BA30">
        <v>3</v>
      </c>
      <c r="BB30">
        <v>3</v>
      </c>
      <c r="BC30">
        <v>3</v>
      </c>
      <c r="BD30">
        <v>2</v>
      </c>
      <c r="BE30">
        <v>3</v>
      </c>
      <c r="BF30">
        <v>3</v>
      </c>
      <c r="BG30">
        <v>4</v>
      </c>
      <c r="BH30">
        <v>3</v>
      </c>
      <c r="BI30">
        <v>4</v>
      </c>
      <c r="BJ30">
        <v>2.4</v>
      </c>
      <c r="BK30">
        <v>3.2</v>
      </c>
      <c r="BL30">
        <v>3.3666666666666667</v>
      </c>
      <c r="BM30">
        <v>3.5611111111111109</v>
      </c>
      <c r="BN30">
        <v>3.4268518518518518</v>
      </c>
      <c r="BO30">
        <v>3.2853703703703703</v>
      </c>
      <c r="BP30">
        <v>3.8570740740740739</v>
      </c>
      <c r="BQ30">
        <v>3.6</v>
      </c>
      <c r="BR30">
        <v>2.7666666666666666</v>
      </c>
      <c r="BS30">
        <v>3.2944444444444443</v>
      </c>
    </row>
    <row r="31" spans="1:71" x14ac:dyDescent="0.3">
      <c r="A31">
        <v>30</v>
      </c>
      <c r="B31">
        <v>45984.504699074074</v>
      </c>
      <c r="C31">
        <v>45984.511446759258</v>
      </c>
      <c r="D31" t="s">
        <v>61</v>
      </c>
      <c r="F31" t="s">
        <v>75</v>
      </c>
      <c r="G31" t="s">
        <v>63</v>
      </c>
      <c r="H31" t="s">
        <v>80</v>
      </c>
      <c r="I31" t="s">
        <v>77</v>
      </c>
      <c r="J31" t="s">
        <v>82</v>
      </c>
      <c r="K31" t="s">
        <v>66</v>
      </c>
      <c r="L31" t="s">
        <v>67</v>
      </c>
      <c r="M31" t="s">
        <v>96</v>
      </c>
      <c r="N31" t="s">
        <v>91</v>
      </c>
      <c r="O31">
        <v>1</v>
      </c>
      <c r="P31">
        <v>1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4</v>
      </c>
      <c r="AA31">
        <v>3</v>
      </c>
      <c r="AB31">
        <v>2</v>
      </c>
      <c r="AC31">
        <v>4</v>
      </c>
      <c r="AD31">
        <v>4</v>
      </c>
      <c r="AE31">
        <v>3</v>
      </c>
      <c r="AF31">
        <v>3</v>
      </c>
      <c r="AG31">
        <v>3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5</v>
      </c>
      <c r="AR31">
        <v>4</v>
      </c>
      <c r="AS31">
        <v>4</v>
      </c>
      <c r="AT31">
        <v>4</v>
      </c>
      <c r="AV31">
        <v>4</v>
      </c>
      <c r="AW31">
        <v>4</v>
      </c>
      <c r="AX31">
        <v>4</v>
      </c>
      <c r="AY31">
        <v>4</v>
      </c>
      <c r="AZ31">
        <v>3</v>
      </c>
      <c r="BA31">
        <v>3</v>
      </c>
      <c r="BB31">
        <v>4</v>
      </c>
      <c r="BC31">
        <v>3</v>
      </c>
      <c r="BD31">
        <v>4</v>
      </c>
      <c r="BE31">
        <v>3</v>
      </c>
      <c r="BF31">
        <v>3</v>
      </c>
      <c r="BG31">
        <v>3</v>
      </c>
      <c r="BH31">
        <v>3</v>
      </c>
      <c r="BI31">
        <v>5</v>
      </c>
      <c r="BJ31">
        <v>2.2000000000000002</v>
      </c>
      <c r="BK31">
        <v>3.2</v>
      </c>
      <c r="BL31">
        <v>3.0333333333333332</v>
      </c>
      <c r="BM31">
        <v>3.338888888888889</v>
      </c>
      <c r="BN31">
        <v>3.8898148148148151</v>
      </c>
      <c r="BO31">
        <v>3.9779629629629629</v>
      </c>
      <c r="BP31">
        <v>4.1955925925925923</v>
      </c>
      <c r="BQ31">
        <v>4</v>
      </c>
      <c r="BR31">
        <v>3.5</v>
      </c>
      <c r="BS31">
        <v>3.4166666666666665</v>
      </c>
    </row>
    <row r="37" spans="2:14" x14ac:dyDescent="0.3">
      <c r="B37" s="25"/>
    </row>
    <row r="38" spans="2:14" x14ac:dyDescent="0.3">
      <c r="B38" s="43" t="s">
        <v>172</v>
      </c>
      <c r="C38" s="43"/>
      <c r="D38" s="43"/>
      <c r="E38" s="43"/>
      <c r="F38" s="43"/>
      <c r="I38" s="44" t="s">
        <v>173</v>
      </c>
      <c r="J38" s="45"/>
      <c r="K38" s="45"/>
    </row>
    <row r="39" spans="2:14" x14ac:dyDescent="0.3">
      <c r="B39" s="29" t="s">
        <v>166</v>
      </c>
      <c r="C39" s="29" t="s">
        <v>152</v>
      </c>
      <c r="D39" s="29" t="s">
        <v>154</v>
      </c>
      <c r="E39" s="29" t="s">
        <v>155</v>
      </c>
      <c r="F39" s="29" t="s">
        <v>153</v>
      </c>
      <c r="I39" s="29" t="s">
        <v>166</v>
      </c>
      <c r="J39" s="29" t="s">
        <v>70</v>
      </c>
      <c r="K39" s="29" t="s">
        <v>68</v>
      </c>
      <c r="L39" s="29" t="s">
        <v>71</v>
      </c>
      <c r="M39" s="29" t="s">
        <v>74</v>
      </c>
      <c r="N39" s="29" t="s">
        <v>69</v>
      </c>
    </row>
    <row r="40" spans="2:14" x14ac:dyDescent="0.3">
      <c r="B40" s="25" t="s">
        <v>156</v>
      </c>
      <c r="C40" s="27">
        <f>AVERAGE(O2:S31)</f>
        <v>3.1666666666666665</v>
      </c>
      <c r="D40" s="27">
        <f>MAX(O2:S31)</f>
        <v>5</v>
      </c>
      <c r="E40" s="27">
        <f>MIN(O2:S31)</f>
        <v>1</v>
      </c>
      <c r="F40" s="27">
        <f>_xlfn.STDEV.S(O2:S31)</f>
        <v>1.2174164892416253</v>
      </c>
      <c r="I40" s="25" t="s">
        <v>156</v>
      </c>
      <c r="J40" s="7">
        <f>COUNTIF(O2:S31, 5)</f>
        <v>20</v>
      </c>
      <c r="K40" s="7">
        <f>COUNTIF(O2:S31, 4)</f>
        <v>48</v>
      </c>
      <c r="L40" s="7">
        <f>COUNTIF(O2:S31, 3)</f>
        <v>36</v>
      </c>
      <c r="M40" s="7">
        <f>COUNTIF(O2:S31, 2)</f>
        <v>29</v>
      </c>
      <c r="N40" s="7">
        <f>COUNTIF(O2:S31, 1)</f>
        <v>17</v>
      </c>
    </row>
    <row r="41" spans="2:14" x14ac:dyDescent="0.3">
      <c r="B41" s="25" t="s">
        <v>157</v>
      </c>
      <c r="C41" s="27">
        <f>AVERAGE(T2:W31)</f>
        <v>3.0916666666666668</v>
      </c>
      <c r="D41" s="27">
        <f>MAX(T2:W31)</f>
        <v>5</v>
      </c>
      <c r="E41" s="27">
        <f>MIN(T2:W31)</f>
        <v>1</v>
      </c>
      <c r="F41" s="27">
        <f>_xlfn.STDEV.S(T2:W31)</f>
        <v>1.0207579432517211</v>
      </c>
      <c r="I41" s="25" t="s">
        <v>157</v>
      </c>
      <c r="J41" s="7">
        <f>COUNTIF(T2:W31, 5)</f>
        <v>9</v>
      </c>
      <c r="K41" s="7">
        <f>COUNTIF(T2:W31, 4)</f>
        <v>31</v>
      </c>
      <c r="L41" s="7">
        <f>COUNTIF(T2:W31, 3)</f>
        <v>52</v>
      </c>
      <c r="M41" s="7">
        <f>COUNTIF(T2:W31, 2)</f>
        <v>18</v>
      </c>
      <c r="N41" s="7">
        <f>COUNTIF(T2:W31, 1)</f>
        <v>10</v>
      </c>
    </row>
    <row r="42" spans="2:14" x14ac:dyDescent="0.3">
      <c r="B42" s="25" t="s">
        <v>158</v>
      </c>
      <c r="C42" s="27">
        <f>AVERAGE(X2:AB31)</f>
        <v>3.0335570469798658</v>
      </c>
      <c r="D42" s="27">
        <f>MAX(T2:W31)</f>
        <v>5</v>
      </c>
      <c r="E42" s="27">
        <f>MIN(T2:W31)</f>
        <v>1</v>
      </c>
      <c r="F42" s="27">
        <f>_xlfn.STDEV.S(T2:W31)</f>
        <v>1.0207579432517211</v>
      </c>
      <c r="I42" s="25" t="s">
        <v>158</v>
      </c>
      <c r="J42" s="7">
        <f>COUNTIF(X2:AB31, 5)</f>
        <v>13</v>
      </c>
      <c r="K42" s="7">
        <f>COUNTIF(X2:AB31, 4)</f>
        <v>41</v>
      </c>
      <c r="L42" s="7">
        <f>COUNTIF(X2:AB31, 3)</f>
        <v>53</v>
      </c>
      <c r="M42" s="7">
        <f>COUNTIF(X2:AB31, 2)</f>
        <v>22</v>
      </c>
      <c r="N42" s="7">
        <f>COUNTIF(X2:AB31, 1)</f>
        <v>20</v>
      </c>
    </row>
    <row r="43" spans="2:14" x14ac:dyDescent="0.3">
      <c r="B43" s="25" t="s">
        <v>159</v>
      </c>
      <c r="C43" s="27">
        <f>AVERAGE(AC2:AG31)</f>
        <v>3.3288590604026846</v>
      </c>
      <c r="D43" s="27">
        <f>MAX(AC2:AG31)</f>
        <v>5</v>
      </c>
      <c r="E43" s="27">
        <f>MIN(AC2:AG31)</f>
        <v>1</v>
      </c>
      <c r="F43" s="27">
        <f>_xlfn.STDEV.S(AC2:AG31)</f>
        <v>1.0745392036924875</v>
      </c>
      <c r="I43" s="25" t="s">
        <v>159</v>
      </c>
      <c r="J43" s="7">
        <f>COUNTIF(AC2:AG31, 5)</f>
        <v>18</v>
      </c>
      <c r="K43" s="7">
        <f>COUNTIF(AC2:AG31, 4)</f>
        <v>53</v>
      </c>
      <c r="L43" s="7">
        <f>COUNTIF(AC2:AG31, 3)</f>
        <v>49</v>
      </c>
      <c r="M43" s="7">
        <f>COUNTIF(AC2:AG31, 2)</f>
        <v>18</v>
      </c>
      <c r="N43" s="7">
        <f>COUNTIF(AC2:AG31, 1)</f>
        <v>11</v>
      </c>
    </row>
    <row r="44" spans="2:14" x14ac:dyDescent="0.3">
      <c r="B44" s="25" t="s">
        <v>160</v>
      </c>
      <c r="C44" s="27">
        <f>AVERAGE(AH2:AL31)</f>
        <v>3.0533333333333332</v>
      </c>
      <c r="D44" s="27">
        <f>MAX(AH2:AL31)</f>
        <v>5</v>
      </c>
      <c r="E44" s="27">
        <f>MIN(AH2:AL31)</f>
        <v>1</v>
      </c>
      <c r="F44" s="27">
        <f>_xlfn.STDEV.S(AH2:AL31)</f>
        <v>1.0978115305459095</v>
      </c>
      <c r="I44" s="25" t="s">
        <v>160</v>
      </c>
      <c r="J44" s="7">
        <f>COUNTIF(AH2:AL31, 5)</f>
        <v>9</v>
      </c>
      <c r="K44" s="7">
        <f>COUNTIF(AH2:AL31, 4)</f>
        <v>51</v>
      </c>
      <c r="L44" s="7">
        <f>COUNTIF(AH2:AL31, 3)</f>
        <v>45</v>
      </c>
      <c r="M44" s="7">
        <f>COUNTIF(AH2:AL31, 2)</f>
        <v>29</v>
      </c>
      <c r="N44" s="7">
        <f>COUNTIF(AH2:AL31, 1)</f>
        <v>16</v>
      </c>
    </row>
    <row r="45" spans="2:14" x14ac:dyDescent="0.3">
      <c r="B45" s="25" t="s">
        <v>161</v>
      </c>
      <c r="C45" s="27">
        <f>AVERAGE(AM2:AP31)</f>
        <v>3.2250000000000001</v>
      </c>
      <c r="D45" s="27">
        <f>MAX(AH2:AL31)</f>
        <v>5</v>
      </c>
      <c r="E45" s="27">
        <f>MIN(AH2:AL31)</f>
        <v>1</v>
      </c>
      <c r="F45" s="27">
        <f>_xlfn.STDEV.S(AH2:AL31)</f>
        <v>1.0978115305459095</v>
      </c>
      <c r="I45" s="25" t="s">
        <v>161</v>
      </c>
      <c r="J45" s="7">
        <f>COUNTIF(AM2:AP31, 5)</f>
        <v>9</v>
      </c>
      <c r="K45" s="7">
        <f>COUNTIF(AM2:AP31, 4)</f>
        <v>56</v>
      </c>
      <c r="L45" s="7">
        <f>COUNTIF(AM2:AP31, 3)</f>
        <v>21</v>
      </c>
      <c r="M45" s="7">
        <f>COUNTIF(AM2:AP31, 2)</f>
        <v>21</v>
      </c>
      <c r="N45" s="7">
        <f>COUNTIF(AM2:AP31, 1)</f>
        <v>13</v>
      </c>
    </row>
    <row r="46" spans="2:14" x14ac:dyDescent="0.3">
      <c r="B46" s="25" t="s">
        <v>162</v>
      </c>
      <c r="C46" s="27">
        <f>AVERAGE(AQ2:AT31)</f>
        <v>3.7833333333333332</v>
      </c>
      <c r="D46" s="27">
        <f>MAX(AQ2:AT31)</f>
        <v>5</v>
      </c>
      <c r="E46" s="27">
        <f>MIN(AQ2:AT31)</f>
        <v>1</v>
      </c>
      <c r="F46" s="27">
        <f>_xlfn.STDEV.S(AQ2:AT31)</f>
        <v>0.96304256416430323</v>
      </c>
      <c r="I46" s="25" t="s">
        <v>162</v>
      </c>
      <c r="J46" s="7">
        <f>COUNTIF(AQ2:AT31, 5)</f>
        <v>23</v>
      </c>
      <c r="K46" s="7">
        <f>COUNTIF(AQ2:AT31, 4)</f>
        <v>66</v>
      </c>
      <c r="L46" s="7">
        <f>COUNTIF(AQ2:AT31, 3)</f>
        <v>17</v>
      </c>
      <c r="M46" s="7">
        <f>COUNTIF(AQ2:AT31, 2)</f>
        <v>10</v>
      </c>
      <c r="N46" s="7">
        <f>COUNTIF(AQ2:AT31, 1)</f>
        <v>4</v>
      </c>
    </row>
    <row r="47" spans="2:14" x14ac:dyDescent="0.3">
      <c r="B47" s="25" t="s">
        <v>163</v>
      </c>
      <c r="C47" s="27">
        <f>AVERAGE(AU2:AX30)</f>
        <v>3.0956521739130434</v>
      </c>
      <c r="D47" s="27">
        <f>MAX(AU2:AX30)</f>
        <v>5</v>
      </c>
      <c r="E47" s="27">
        <f>MIN(AU2:AX30)</f>
        <v>1</v>
      </c>
      <c r="F47" s="27">
        <f>_xlfn.STDEV.S(AU2:AX30)</f>
        <v>1.083965373334101</v>
      </c>
      <c r="I47" s="25" t="s">
        <v>163</v>
      </c>
      <c r="J47" s="7">
        <f>COUNTIF(AU2:AX30, 5)</f>
        <v>10</v>
      </c>
      <c r="K47" s="7">
        <f>COUNTIF(AU2:AX30, 4)</f>
        <v>34</v>
      </c>
      <c r="L47" s="7">
        <f>COUNTIF(AU2:AX30, 3)</f>
        <v>37</v>
      </c>
      <c r="M47" s="7">
        <f>COUNTIF(AU2:AX30, 2)</f>
        <v>25</v>
      </c>
      <c r="N47" s="7">
        <f>COUNTIF(AU2:AX30, 1)</f>
        <v>9</v>
      </c>
    </row>
    <row r="48" spans="2:14" x14ac:dyDescent="0.3">
      <c r="B48" s="25" t="s">
        <v>164</v>
      </c>
      <c r="C48" s="27">
        <f>AVERAGE(AZ2:BB31)</f>
        <v>2.5222222222222221</v>
      </c>
      <c r="D48" s="27">
        <f>MAX(AZ2:BB31)</f>
        <v>5</v>
      </c>
      <c r="E48" s="27">
        <f>MIN(AZ2:BB31)</f>
        <v>1</v>
      </c>
      <c r="F48" s="27">
        <f>_xlfn.STDEV.S(AZ2:BB31)</f>
        <v>1.0192283683828438</v>
      </c>
      <c r="I48" s="25" t="s">
        <v>164</v>
      </c>
      <c r="J48" s="7">
        <f>COUNTIF(AZ2:BB31, 5)</f>
        <v>3</v>
      </c>
      <c r="K48" s="7">
        <f>COUNTIF(AZ2:BB31, 4)</f>
        <v>10</v>
      </c>
      <c r="L48" s="7">
        <f>COUNTIF(AZ2:BB31, 3)</f>
        <v>34</v>
      </c>
      <c r="M48" s="7">
        <f>COUNTIF(AZ2:BB31, 2)</f>
        <v>27</v>
      </c>
      <c r="N48" s="7">
        <f>COUNTIF(AZ2:BB31, 1)</f>
        <v>16</v>
      </c>
    </row>
    <row r="49" spans="2:14" ht="15" thickBot="1" x14ac:dyDescent="0.35">
      <c r="B49" s="24" t="s">
        <v>165</v>
      </c>
      <c r="C49" s="28">
        <f>AVERAGE(BE2:BI31)</f>
        <v>2.88</v>
      </c>
      <c r="D49" s="28">
        <f>MAX(BE2:BI31)</f>
        <v>5</v>
      </c>
      <c r="E49" s="28">
        <f>MIN(BE2:BI31)</f>
        <v>1</v>
      </c>
      <c r="F49" s="28">
        <f>_xlfn.STDEV.S(BE2:BI31)</f>
        <v>1.0421969567429636</v>
      </c>
      <c r="I49" s="24" t="s">
        <v>165</v>
      </c>
      <c r="J49" s="10">
        <f>COUNTIF(BE2:BI31, 5)</f>
        <v>7</v>
      </c>
      <c r="K49" s="10">
        <f>COUNTIF(BE2:BI31, 4)</f>
        <v>34</v>
      </c>
      <c r="L49" s="10">
        <f>COUNTIF(BE2:BI31, 3)</f>
        <v>61</v>
      </c>
      <c r="M49" s="10">
        <f>COUNTIF(BE2:BI31, 2)</f>
        <v>30</v>
      </c>
      <c r="N49" s="10">
        <f>COUNTIF(BE2:BI31, 1)</f>
        <v>18</v>
      </c>
    </row>
  </sheetData>
  <mergeCells count="2">
    <mergeCell ref="B38:F38"/>
    <mergeCell ref="I38:K38"/>
  </mergeCells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53FE-923E-4A46-8188-B270A8273537}">
  <dimension ref="B1:L48"/>
  <sheetViews>
    <sheetView topLeftCell="A22" zoomScale="62" workbookViewId="0">
      <selection activeCell="L36" sqref="L36"/>
    </sheetView>
  </sheetViews>
  <sheetFormatPr defaultRowHeight="14.4" x14ac:dyDescent="0.3"/>
  <cols>
    <col min="2" max="2" width="20.33203125" customWidth="1"/>
    <col min="3" max="3" width="17.6640625" customWidth="1"/>
    <col min="4" max="4" width="15.77734375" customWidth="1"/>
    <col min="5" max="5" width="16.109375" customWidth="1"/>
    <col min="9" max="9" width="17" customWidth="1"/>
    <col min="10" max="10" width="15.109375" bestFit="1" customWidth="1"/>
    <col min="12" max="12" width="15.5546875" customWidth="1"/>
  </cols>
  <sheetData>
    <row r="1" spans="2:10" x14ac:dyDescent="0.3">
      <c r="B1" s="49" t="s">
        <v>121</v>
      </c>
      <c r="C1" s="49"/>
      <c r="D1" s="49"/>
      <c r="E1" s="49"/>
    </row>
    <row r="2" spans="2:10" x14ac:dyDescent="0.3">
      <c r="B2" s="4" t="s">
        <v>116</v>
      </c>
      <c r="C2" s="4" t="s">
        <v>117</v>
      </c>
      <c r="D2" s="4" t="s">
        <v>118</v>
      </c>
      <c r="E2" s="4" t="s">
        <v>120</v>
      </c>
      <c r="H2" s="19"/>
      <c r="I2" s="21" t="s">
        <v>151</v>
      </c>
      <c r="J2" s="20">
        <v>30</v>
      </c>
    </row>
    <row r="3" spans="2:10" x14ac:dyDescent="0.3">
      <c r="B3" s="46" t="s">
        <v>122</v>
      </c>
      <c r="C3" s="12" t="s">
        <v>84</v>
      </c>
      <c r="D3" s="12">
        <v>7</v>
      </c>
      <c r="E3" s="13">
        <f t="shared" ref="E3:E39" si="0">(D3/Responses)*percent</f>
        <v>23.333333333333332</v>
      </c>
      <c r="H3" s="19"/>
      <c r="I3" s="21" t="s">
        <v>119</v>
      </c>
      <c r="J3" s="20">
        <v>100</v>
      </c>
    </row>
    <row r="4" spans="2:10" x14ac:dyDescent="0.3">
      <c r="B4" s="47"/>
      <c r="C4" s="7" t="s">
        <v>75</v>
      </c>
      <c r="D4" s="7">
        <v>10</v>
      </c>
      <c r="E4" s="8">
        <f t="shared" si="0"/>
        <v>33.333333333333329</v>
      </c>
    </row>
    <row r="5" spans="2:10" x14ac:dyDescent="0.3">
      <c r="B5" s="47"/>
      <c r="C5" s="7" t="s">
        <v>86</v>
      </c>
      <c r="D5" s="7">
        <v>5</v>
      </c>
      <c r="E5" s="8">
        <f t="shared" si="0"/>
        <v>16.666666666666664</v>
      </c>
    </row>
    <row r="6" spans="2:10" x14ac:dyDescent="0.3">
      <c r="B6" s="47"/>
      <c r="C6" s="7" t="s">
        <v>95</v>
      </c>
      <c r="D6" s="7">
        <v>5</v>
      </c>
      <c r="E6" s="8">
        <f t="shared" si="0"/>
        <v>16.666666666666664</v>
      </c>
    </row>
    <row r="7" spans="2:10" x14ac:dyDescent="0.3">
      <c r="B7" s="47"/>
      <c r="C7" s="7" t="s">
        <v>62</v>
      </c>
      <c r="D7" s="7">
        <v>2</v>
      </c>
      <c r="E7" s="8">
        <f t="shared" si="0"/>
        <v>6.666666666666667</v>
      </c>
    </row>
    <row r="8" spans="2:10" x14ac:dyDescent="0.3">
      <c r="B8" s="48"/>
      <c r="C8" s="14" t="s">
        <v>65</v>
      </c>
      <c r="D8" s="14">
        <v>1</v>
      </c>
      <c r="E8" s="15">
        <f t="shared" si="0"/>
        <v>3.3333333333333335</v>
      </c>
    </row>
    <row r="9" spans="2:10" x14ac:dyDescent="0.3">
      <c r="B9" s="46" t="s">
        <v>123</v>
      </c>
      <c r="C9" s="12" t="s">
        <v>127</v>
      </c>
      <c r="D9" s="12">
        <v>11</v>
      </c>
      <c r="E9" s="13">
        <f t="shared" si="0"/>
        <v>36.666666666666664</v>
      </c>
    </row>
    <row r="10" spans="2:10" x14ac:dyDescent="0.3">
      <c r="B10" s="47"/>
      <c r="C10" s="7" t="s">
        <v>128</v>
      </c>
      <c r="D10" s="7">
        <v>17</v>
      </c>
      <c r="E10" s="8">
        <f t="shared" si="0"/>
        <v>56.666666666666664</v>
      </c>
    </row>
    <row r="11" spans="2:10" x14ac:dyDescent="0.3">
      <c r="B11" s="48"/>
      <c r="C11" s="14" t="s">
        <v>65</v>
      </c>
      <c r="D11" s="14">
        <v>2</v>
      </c>
      <c r="E11" s="15">
        <f t="shared" si="0"/>
        <v>6.666666666666667</v>
      </c>
    </row>
    <row r="12" spans="2:10" x14ac:dyDescent="0.3">
      <c r="B12" s="46" t="s">
        <v>124</v>
      </c>
      <c r="C12" s="12" t="s">
        <v>129</v>
      </c>
      <c r="D12" s="12">
        <v>10</v>
      </c>
      <c r="E12" s="13">
        <f t="shared" si="0"/>
        <v>33.333333333333329</v>
      </c>
    </row>
    <row r="13" spans="2:10" x14ac:dyDescent="0.3">
      <c r="B13" s="47"/>
      <c r="C13" s="7" t="s">
        <v>130</v>
      </c>
      <c r="D13" s="7">
        <v>4</v>
      </c>
      <c r="E13" s="8">
        <f t="shared" si="0"/>
        <v>13.333333333333334</v>
      </c>
    </row>
    <row r="14" spans="2:10" x14ac:dyDescent="0.3">
      <c r="B14" s="47"/>
      <c r="C14" s="7" t="s">
        <v>131</v>
      </c>
      <c r="D14" s="7">
        <v>9</v>
      </c>
      <c r="E14" s="8">
        <f t="shared" si="0"/>
        <v>30</v>
      </c>
    </row>
    <row r="15" spans="2:10" x14ac:dyDescent="0.3">
      <c r="B15" s="47"/>
      <c r="C15" s="7" t="s">
        <v>132</v>
      </c>
      <c r="D15" s="7">
        <v>4</v>
      </c>
      <c r="E15" s="8">
        <f t="shared" si="0"/>
        <v>13.333333333333334</v>
      </c>
    </row>
    <row r="16" spans="2:10" x14ac:dyDescent="0.3">
      <c r="B16" s="47"/>
      <c r="C16" s="7" t="s">
        <v>133</v>
      </c>
      <c r="D16" s="7">
        <v>1</v>
      </c>
      <c r="E16" s="8">
        <f t="shared" si="0"/>
        <v>3.3333333333333335</v>
      </c>
    </row>
    <row r="17" spans="2:12" x14ac:dyDescent="0.3">
      <c r="B17" s="48"/>
      <c r="C17" s="14" t="s">
        <v>65</v>
      </c>
      <c r="D17" s="14">
        <v>2</v>
      </c>
      <c r="E17" s="15">
        <f t="shared" si="0"/>
        <v>6.666666666666667</v>
      </c>
    </row>
    <row r="18" spans="2:12" ht="62.4" customHeight="1" x14ac:dyDescent="0.3">
      <c r="B18" s="46" t="s">
        <v>145</v>
      </c>
      <c r="C18" s="16" t="s">
        <v>146</v>
      </c>
      <c r="D18" s="12">
        <v>2</v>
      </c>
      <c r="E18" s="13">
        <f t="shared" si="0"/>
        <v>6.666666666666667</v>
      </c>
    </row>
    <row r="19" spans="2:12" ht="28.2" x14ac:dyDescent="0.3">
      <c r="B19" s="47"/>
      <c r="C19" s="9" t="s">
        <v>147</v>
      </c>
      <c r="D19" s="7">
        <v>4</v>
      </c>
      <c r="E19" s="8">
        <f t="shared" si="0"/>
        <v>13.333333333333334</v>
      </c>
    </row>
    <row r="20" spans="2:12" x14ac:dyDescent="0.3">
      <c r="B20" s="47"/>
      <c r="C20" s="7" t="s">
        <v>148</v>
      </c>
      <c r="D20">
        <v>7</v>
      </c>
      <c r="E20" s="8">
        <f t="shared" si="0"/>
        <v>23.333333333333332</v>
      </c>
    </row>
    <row r="21" spans="2:12" x14ac:dyDescent="0.3">
      <c r="B21" s="47"/>
      <c r="C21" s="7" t="s">
        <v>149</v>
      </c>
      <c r="D21">
        <v>10</v>
      </c>
      <c r="E21" s="8">
        <f t="shared" si="0"/>
        <v>33.333333333333329</v>
      </c>
    </row>
    <row r="22" spans="2:12" ht="28.2" x14ac:dyDescent="0.3">
      <c r="B22" s="48"/>
      <c r="C22" s="17" t="s">
        <v>88</v>
      </c>
      <c r="D22" s="18">
        <v>7</v>
      </c>
      <c r="E22" s="15">
        <f t="shared" si="0"/>
        <v>23.333333333333332</v>
      </c>
    </row>
    <row r="23" spans="2:12" ht="90.6" customHeight="1" x14ac:dyDescent="0.3">
      <c r="B23" s="46" t="s">
        <v>137</v>
      </c>
      <c r="C23" s="12" t="s">
        <v>134</v>
      </c>
      <c r="D23" s="12">
        <v>14</v>
      </c>
      <c r="E23" s="13">
        <f t="shared" si="0"/>
        <v>46.666666666666664</v>
      </c>
    </row>
    <row r="24" spans="2:12" x14ac:dyDescent="0.3">
      <c r="B24" s="47"/>
      <c r="C24" s="7" t="s">
        <v>135</v>
      </c>
      <c r="D24" s="7">
        <v>4</v>
      </c>
      <c r="E24" s="8">
        <f t="shared" si="0"/>
        <v>13.333333333333334</v>
      </c>
    </row>
    <row r="25" spans="2:12" x14ac:dyDescent="0.3">
      <c r="B25" s="47"/>
      <c r="C25" s="7" t="s">
        <v>98</v>
      </c>
      <c r="D25" s="7">
        <v>1</v>
      </c>
      <c r="E25" s="8">
        <f t="shared" si="0"/>
        <v>3.3333333333333335</v>
      </c>
    </row>
    <row r="26" spans="2:12" x14ac:dyDescent="0.3">
      <c r="B26" s="47"/>
      <c r="C26" s="7" t="s">
        <v>85</v>
      </c>
      <c r="D26" s="7">
        <v>2</v>
      </c>
      <c r="E26" s="8">
        <f t="shared" si="0"/>
        <v>6.666666666666667</v>
      </c>
    </row>
    <row r="27" spans="2:12" ht="14.4" customHeight="1" x14ac:dyDescent="0.3">
      <c r="B27" s="47"/>
      <c r="C27" s="7" t="s">
        <v>81</v>
      </c>
      <c r="D27" s="7">
        <v>8</v>
      </c>
      <c r="E27" s="8">
        <f t="shared" si="0"/>
        <v>26.666666666666668</v>
      </c>
    </row>
    <row r="28" spans="2:12" x14ac:dyDescent="0.3">
      <c r="B28" s="48"/>
      <c r="C28" s="14" t="s">
        <v>65</v>
      </c>
      <c r="D28" s="14">
        <v>1</v>
      </c>
      <c r="E28" s="15">
        <f t="shared" si="0"/>
        <v>3.3333333333333335</v>
      </c>
    </row>
    <row r="29" spans="2:12" ht="65.400000000000006" customHeight="1" x14ac:dyDescent="0.3">
      <c r="B29" s="46" t="s">
        <v>126</v>
      </c>
      <c r="C29" s="12" t="s">
        <v>93</v>
      </c>
      <c r="D29" s="12">
        <v>6</v>
      </c>
      <c r="E29" s="13">
        <f t="shared" si="0"/>
        <v>20</v>
      </c>
    </row>
    <row r="30" spans="2:12" x14ac:dyDescent="0.3">
      <c r="B30" s="47"/>
      <c r="C30" s="7" t="s">
        <v>138</v>
      </c>
      <c r="D30" s="7">
        <v>9</v>
      </c>
      <c r="E30" s="8">
        <f t="shared" si="0"/>
        <v>30</v>
      </c>
    </row>
    <row r="31" spans="2:12" x14ac:dyDescent="0.3">
      <c r="B31" s="47"/>
      <c r="C31" s="7" t="s">
        <v>82</v>
      </c>
      <c r="D31" s="7">
        <v>10</v>
      </c>
      <c r="E31" s="8">
        <f t="shared" si="0"/>
        <v>33.333333333333329</v>
      </c>
    </row>
    <row r="32" spans="2:12" x14ac:dyDescent="0.3">
      <c r="B32" s="47"/>
      <c r="C32" s="7" t="s">
        <v>139</v>
      </c>
      <c r="D32" s="7">
        <v>2</v>
      </c>
      <c r="E32" s="8">
        <f t="shared" si="0"/>
        <v>6.666666666666667</v>
      </c>
      <c r="J32" s="44" t="s">
        <v>221</v>
      </c>
      <c r="K32" s="44"/>
      <c r="L32" s="44"/>
    </row>
    <row r="33" spans="2:12" x14ac:dyDescent="0.3">
      <c r="B33" s="48"/>
      <c r="C33" s="14" t="s">
        <v>65</v>
      </c>
      <c r="D33" s="14">
        <v>3</v>
      </c>
      <c r="E33" s="15">
        <f t="shared" si="0"/>
        <v>10</v>
      </c>
      <c r="J33" s="7" t="s">
        <v>117</v>
      </c>
      <c r="K33" s="7" t="s">
        <v>220</v>
      </c>
      <c r="L33" s="7" t="s">
        <v>120</v>
      </c>
    </row>
    <row r="34" spans="2:12" ht="68.400000000000006" customHeight="1" x14ac:dyDescent="0.3">
      <c r="B34" s="46" t="s">
        <v>136</v>
      </c>
      <c r="C34" s="12" t="s">
        <v>140</v>
      </c>
      <c r="D34" s="12">
        <v>25</v>
      </c>
      <c r="E34" s="13">
        <f t="shared" si="0"/>
        <v>83.333333333333343</v>
      </c>
      <c r="J34" s="12" t="s">
        <v>141</v>
      </c>
      <c r="K34" s="12">
        <v>4</v>
      </c>
      <c r="L34" s="13">
        <f>(K34/Responses)*percent</f>
        <v>13.333333333333334</v>
      </c>
    </row>
    <row r="35" spans="2:12" x14ac:dyDescent="0.3">
      <c r="B35" s="47"/>
      <c r="C35" s="7" t="s">
        <v>100</v>
      </c>
      <c r="D35" s="7">
        <v>3</v>
      </c>
      <c r="E35" s="8">
        <f t="shared" si="0"/>
        <v>10</v>
      </c>
      <c r="J35" s="7" t="s">
        <v>142</v>
      </c>
      <c r="K35" s="7">
        <v>5</v>
      </c>
      <c r="L35" s="8">
        <f t="shared" ref="L35:L39" si="1">(K35/Responses)*percent</f>
        <v>16.666666666666664</v>
      </c>
    </row>
    <row r="36" spans="2:12" ht="24.6" customHeight="1" x14ac:dyDescent="0.3">
      <c r="B36" s="48"/>
      <c r="C36" s="14" t="s">
        <v>65</v>
      </c>
      <c r="D36" s="14">
        <v>1</v>
      </c>
      <c r="E36" s="15">
        <f t="shared" si="0"/>
        <v>3.3333333333333335</v>
      </c>
      <c r="J36" s="7" t="s">
        <v>143</v>
      </c>
      <c r="K36" s="7">
        <v>8</v>
      </c>
      <c r="L36" s="8">
        <f t="shared" si="1"/>
        <v>26.666666666666668</v>
      </c>
    </row>
    <row r="37" spans="2:12" ht="24.6" customHeight="1" x14ac:dyDescent="0.3">
      <c r="B37" s="46" t="s">
        <v>125</v>
      </c>
      <c r="C37" s="12" t="s">
        <v>91</v>
      </c>
      <c r="D37" s="12">
        <v>21</v>
      </c>
      <c r="E37" s="13">
        <f t="shared" si="0"/>
        <v>70</v>
      </c>
      <c r="J37" s="7" t="s">
        <v>144</v>
      </c>
      <c r="K37" s="7">
        <v>2</v>
      </c>
      <c r="L37" s="8">
        <f t="shared" si="1"/>
        <v>6.666666666666667</v>
      </c>
    </row>
    <row r="38" spans="2:12" ht="24.6" customHeight="1" x14ac:dyDescent="0.3">
      <c r="B38" s="47"/>
      <c r="C38" s="7" t="s">
        <v>103</v>
      </c>
      <c r="D38" s="7">
        <v>1</v>
      </c>
      <c r="E38" s="8">
        <f t="shared" si="0"/>
        <v>3.3333333333333335</v>
      </c>
      <c r="J38" s="7" t="s">
        <v>133</v>
      </c>
      <c r="K38" s="7">
        <v>9</v>
      </c>
      <c r="L38" s="8">
        <f t="shared" si="1"/>
        <v>30</v>
      </c>
    </row>
    <row r="39" spans="2:12" ht="49.8" customHeight="1" thickBot="1" x14ac:dyDescent="0.35">
      <c r="B39" s="48"/>
      <c r="C39" s="14" t="s">
        <v>150</v>
      </c>
      <c r="D39" s="14">
        <v>8</v>
      </c>
      <c r="E39" s="15">
        <f t="shared" si="0"/>
        <v>26.666666666666668</v>
      </c>
      <c r="J39" s="10" t="s">
        <v>150</v>
      </c>
      <c r="K39" s="10">
        <v>6</v>
      </c>
      <c r="L39" s="11">
        <f t="shared" si="1"/>
        <v>20</v>
      </c>
    </row>
    <row r="40" spans="2:12" ht="24.6" customHeight="1" x14ac:dyDescent="0.3">
      <c r="B40" s="6"/>
    </row>
    <row r="41" spans="2:12" ht="24.6" customHeight="1" x14ac:dyDescent="0.3">
      <c r="B41" s="6"/>
    </row>
    <row r="42" spans="2:12" ht="24.6" customHeight="1" x14ac:dyDescent="0.3">
      <c r="B42" s="6"/>
    </row>
    <row r="43" spans="2:12" ht="91.8" customHeight="1" x14ac:dyDescent="0.3">
      <c r="B43" s="6"/>
    </row>
    <row r="44" spans="2:12" x14ac:dyDescent="0.3">
      <c r="B44" s="6"/>
    </row>
    <row r="48" spans="2:12" ht="14.4" customHeight="1" x14ac:dyDescent="0.3"/>
  </sheetData>
  <mergeCells count="10">
    <mergeCell ref="B34:B36"/>
    <mergeCell ref="B37:B39"/>
    <mergeCell ref="J32:L32"/>
    <mergeCell ref="B1:E1"/>
    <mergeCell ref="B3:B8"/>
    <mergeCell ref="B9:B11"/>
    <mergeCell ref="B12:B17"/>
    <mergeCell ref="B18:B22"/>
    <mergeCell ref="B23:B28"/>
    <mergeCell ref="B29:B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F109-7B00-4B9E-A801-7E25617A6E13}">
  <dimension ref="A3:F14"/>
  <sheetViews>
    <sheetView zoomScale="84" zoomScaleNormal="84" workbookViewId="0">
      <selection activeCell="H24" sqref="H24"/>
    </sheetView>
  </sheetViews>
  <sheetFormatPr defaultRowHeight="14.4" x14ac:dyDescent="0.3"/>
  <cols>
    <col min="1" max="1" width="18.77734375" customWidth="1"/>
    <col min="2" max="2" width="20.5546875" customWidth="1"/>
    <col min="3" max="3" width="15.5546875" customWidth="1"/>
    <col min="4" max="4" width="19.44140625" customWidth="1"/>
    <col min="5" max="5" width="18.77734375" customWidth="1"/>
    <col min="6" max="6" width="27.77734375" customWidth="1"/>
  </cols>
  <sheetData>
    <row r="3" spans="1:6" x14ac:dyDescent="0.3">
      <c r="A3" s="2" t="s">
        <v>114</v>
      </c>
      <c r="B3" t="s">
        <v>167</v>
      </c>
      <c r="C3" t="s">
        <v>168</v>
      </c>
      <c r="D3" t="s">
        <v>174</v>
      </c>
      <c r="E3" t="s">
        <v>169</v>
      </c>
      <c r="F3" t="s">
        <v>170</v>
      </c>
    </row>
    <row r="4" spans="1:6" x14ac:dyDescent="0.3">
      <c r="A4" s="3" t="s">
        <v>163</v>
      </c>
      <c r="B4">
        <v>11</v>
      </c>
      <c r="C4">
        <v>38</v>
      </c>
      <c r="D4">
        <v>51</v>
      </c>
      <c r="E4">
        <v>35</v>
      </c>
      <c r="F4">
        <v>9</v>
      </c>
    </row>
    <row r="5" spans="1:6" x14ac:dyDescent="0.3">
      <c r="A5" s="3" t="s">
        <v>161</v>
      </c>
      <c r="B5">
        <v>9</v>
      </c>
      <c r="C5">
        <v>56</v>
      </c>
      <c r="D5">
        <v>21</v>
      </c>
      <c r="E5">
        <v>21</v>
      </c>
      <c r="F5">
        <v>13</v>
      </c>
    </row>
    <row r="6" spans="1:6" x14ac:dyDescent="0.3">
      <c r="A6" s="3" t="s">
        <v>159</v>
      </c>
      <c r="B6">
        <v>18</v>
      </c>
      <c r="C6">
        <v>53</v>
      </c>
      <c r="D6">
        <v>49</v>
      </c>
      <c r="E6">
        <v>18</v>
      </c>
      <c r="F6">
        <v>11</v>
      </c>
    </row>
    <row r="7" spans="1:6" x14ac:dyDescent="0.3">
      <c r="A7" s="3" t="s">
        <v>164</v>
      </c>
      <c r="B7">
        <v>14</v>
      </c>
      <c r="C7">
        <v>23</v>
      </c>
      <c r="D7">
        <v>58</v>
      </c>
      <c r="E7">
        <v>39</v>
      </c>
      <c r="F7">
        <v>16</v>
      </c>
    </row>
    <row r="8" spans="1:6" x14ac:dyDescent="0.3">
      <c r="A8" s="3" t="s">
        <v>160</v>
      </c>
      <c r="B8">
        <v>9</v>
      </c>
      <c r="C8">
        <v>51</v>
      </c>
      <c r="D8">
        <v>45</v>
      </c>
      <c r="E8">
        <v>29</v>
      </c>
      <c r="F8">
        <v>16</v>
      </c>
    </row>
    <row r="9" spans="1:6" x14ac:dyDescent="0.3">
      <c r="A9" s="3" t="s">
        <v>165</v>
      </c>
      <c r="B9">
        <v>7</v>
      </c>
      <c r="C9">
        <v>34</v>
      </c>
      <c r="D9">
        <v>61</v>
      </c>
      <c r="E9">
        <v>30</v>
      </c>
      <c r="F9">
        <v>18</v>
      </c>
    </row>
    <row r="10" spans="1:6" x14ac:dyDescent="0.3">
      <c r="A10" s="3" t="s">
        <v>157</v>
      </c>
      <c r="B10">
        <v>9</v>
      </c>
      <c r="C10">
        <v>31</v>
      </c>
      <c r="D10">
        <v>52</v>
      </c>
      <c r="E10">
        <v>18</v>
      </c>
      <c r="F10">
        <v>10</v>
      </c>
    </row>
    <row r="11" spans="1:6" x14ac:dyDescent="0.3">
      <c r="A11" s="3" t="s">
        <v>162</v>
      </c>
      <c r="B11">
        <v>23</v>
      </c>
      <c r="C11">
        <v>66</v>
      </c>
      <c r="D11">
        <v>17</v>
      </c>
      <c r="E11">
        <v>10</v>
      </c>
      <c r="F11">
        <v>4</v>
      </c>
    </row>
    <row r="12" spans="1:6" x14ac:dyDescent="0.3">
      <c r="A12" s="3" t="s">
        <v>158</v>
      </c>
      <c r="B12">
        <v>13</v>
      </c>
      <c r="C12">
        <v>41</v>
      </c>
      <c r="D12">
        <v>53</v>
      </c>
      <c r="E12">
        <v>22</v>
      </c>
      <c r="F12">
        <v>20</v>
      </c>
    </row>
    <row r="13" spans="1:6" x14ac:dyDescent="0.3">
      <c r="A13" s="3" t="s">
        <v>156</v>
      </c>
      <c r="B13">
        <v>20</v>
      </c>
      <c r="C13">
        <v>48</v>
      </c>
      <c r="D13">
        <v>36</v>
      </c>
      <c r="E13">
        <v>29</v>
      </c>
      <c r="F13">
        <v>17</v>
      </c>
    </row>
    <row r="14" spans="1:6" x14ac:dyDescent="0.3">
      <c r="A14" s="3" t="s">
        <v>115</v>
      </c>
      <c r="B14">
        <v>133</v>
      </c>
      <c r="C14">
        <v>441</v>
      </c>
      <c r="D14">
        <v>443</v>
      </c>
      <c r="E14">
        <v>251</v>
      </c>
      <c r="F14">
        <v>134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CFDC-AB20-47DC-96F3-8FC66A86B61B}">
  <dimension ref="A1:W91"/>
  <sheetViews>
    <sheetView zoomScale="71" zoomScaleNormal="71" workbookViewId="0">
      <selection activeCell="M33" sqref="M33"/>
    </sheetView>
  </sheetViews>
  <sheetFormatPr defaultRowHeight="14.4" x14ac:dyDescent="0.3"/>
  <cols>
    <col min="1" max="1" width="8.6640625" bestFit="1" customWidth="1"/>
    <col min="2" max="2" width="19.33203125" customWidth="1"/>
    <col min="3" max="3" width="15.33203125" customWidth="1"/>
    <col min="4" max="4" width="14.33203125" customWidth="1"/>
    <col min="5" max="5" width="18.21875" customWidth="1"/>
    <col min="6" max="6" width="17.33203125" customWidth="1"/>
    <col min="7" max="7" width="17.109375" customWidth="1"/>
    <col min="8" max="8" width="16.33203125" customWidth="1"/>
    <col min="9" max="9" width="18.109375" customWidth="1"/>
    <col min="10" max="10" width="13.77734375" bestFit="1" customWidth="1"/>
    <col min="11" max="11" width="18.21875" bestFit="1" customWidth="1"/>
    <col min="12" max="12" width="8.88671875" customWidth="1"/>
    <col min="13" max="13" width="18" customWidth="1"/>
    <col min="14" max="14" width="12.33203125" customWidth="1"/>
    <col min="15" max="15" width="11.77734375" customWidth="1"/>
    <col min="16" max="16" width="11.33203125" customWidth="1"/>
    <col min="17" max="18" width="11.77734375" customWidth="1"/>
    <col min="19" max="19" width="13.21875" customWidth="1"/>
    <col min="20" max="20" width="10" customWidth="1"/>
    <col min="21" max="21" width="10.6640625" customWidth="1"/>
    <col min="22" max="22" width="10.44140625" customWidth="1"/>
    <col min="23" max="23" width="15.109375" customWidth="1"/>
    <col min="24" max="24" width="20" customWidth="1"/>
  </cols>
  <sheetData>
    <row r="1" spans="1:23" x14ac:dyDescent="0.3">
      <c r="A1" t="s">
        <v>0</v>
      </c>
      <c r="B1" s="22" t="s">
        <v>188</v>
      </c>
      <c r="C1" s="22" t="s">
        <v>179</v>
      </c>
      <c r="D1" s="22" t="s">
        <v>180</v>
      </c>
      <c r="E1" s="22" t="s">
        <v>181</v>
      </c>
      <c r="F1" s="22" t="s">
        <v>182</v>
      </c>
      <c r="G1" s="22" t="s">
        <v>183</v>
      </c>
      <c r="H1" s="22" t="s">
        <v>184</v>
      </c>
      <c r="I1" s="22" t="s">
        <v>185</v>
      </c>
      <c r="J1" s="22" t="s">
        <v>186</v>
      </c>
      <c r="K1" s="23" t="s">
        <v>187</v>
      </c>
      <c r="M1" s="51" t="s">
        <v>222</v>
      </c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ht="15" customHeight="1" x14ac:dyDescent="0.3">
      <c r="A2">
        <v>1</v>
      </c>
      <c r="B2" s="31">
        <v>4</v>
      </c>
      <c r="C2" s="31">
        <v>4</v>
      </c>
      <c r="D2" s="31">
        <v>3.3333333333333335</v>
      </c>
      <c r="E2" s="31">
        <v>4.0555555555555554</v>
      </c>
      <c r="F2" s="31">
        <v>4.0092592592592595</v>
      </c>
      <c r="G2" s="31">
        <v>2.8018518518518518</v>
      </c>
      <c r="H2" s="31">
        <v>4.1603703703703703</v>
      </c>
      <c r="I2" s="31">
        <v>4.2</v>
      </c>
      <c r="J2" s="31">
        <v>1.8666666666666667</v>
      </c>
      <c r="K2" s="32">
        <v>1.8111111111111111</v>
      </c>
      <c r="M2" s="42"/>
      <c r="N2" s="42" t="s">
        <v>189</v>
      </c>
      <c r="O2" s="42" t="s">
        <v>157</v>
      </c>
      <c r="P2" s="42" t="s">
        <v>158</v>
      </c>
      <c r="Q2" s="42" t="s">
        <v>159</v>
      </c>
      <c r="R2" s="42" t="s">
        <v>160</v>
      </c>
      <c r="S2" s="42" t="s">
        <v>161</v>
      </c>
      <c r="T2" s="42" t="s">
        <v>162</v>
      </c>
      <c r="U2" s="42" t="s">
        <v>163</v>
      </c>
      <c r="V2" s="42" t="s">
        <v>164</v>
      </c>
      <c r="W2" s="42" t="s">
        <v>165</v>
      </c>
    </row>
    <row r="3" spans="1:23" x14ac:dyDescent="0.3">
      <c r="A3">
        <v>2</v>
      </c>
      <c r="B3" s="33">
        <v>1.8</v>
      </c>
      <c r="C3" s="33">
        <v>2</v>
      </c>
      <c r="D3" s="33">
        <v>2</v>
      </c>
      <c r="E3" s="33">
        <v>2.3333333333333335</v>
      </c>
      <c r="F3" s="33">
        <v>1.7222222222222223</v>
      </c>
      <c r="G3" s="33">
        <v>2.9444444444444446</v>
      </c>
      <c r="H3" s="33">
        <v>3.7888888888888888</v>
      </c>
      <c r="I3" s="33">
        <v>2.4</v>
      </c>
      <c r="J3" s="33">
        <v>1.4</v>
      </c>
      <c r="K3" s="34">
        <v>1.2333333333333334</v>
      </c>
      <c r="M3" s="5" t="s">
        <v>189</v>
      </c>
      <c r="N3" s="5">
        <v>1</v>
      </c>
      <c r="O3" s="5"/>
      <c r="P3" s="5"/>
      <c r="Q3" s="5"/>
      <c r="R3" s="5"/>
      <c r="S3" s="5"/>
      <c r="T3" s="5"/>
      <c r="U3" s="5"/>
      <c r="V3" s="5"/>
      <c r="W3" s="5"/>
    </row>
    <row r="4" spans="1:23" x14ac:dyDescent="0.3">
      <c r="A4">
        <v>3</v>
      </c>
      <c r="B4" s="31">
        <v>3.6</v>
      </c>
      <c r="C4" s="31">
        <v>3.8</v>
      </c>
      <c r="D4" s="31">
        <v>3.8</v>
      </c>
      <c r="E4" s="31">
        <v>4.1333333333333329</v>
      </c>
      <c r="F4" s="31">
        <v>3.0222222222222221</v>
      </c>
      <c r="G4" s="31">
        <v>3.0044444444444443</v>
      </c>
      <c r="H4" s="31">
        <v>4.2008888888888887</v>
      </c>
      <c r="I4" s="31">
        <v>3.8</v>
      </c>
      <c r="J4" s="31">
        <v>1.7999999999999998</v>
      </c>
      <c r="K4" s="32">
        <v>1.8</v>
      </c>
      <c r="M4" s="5" t="s">
        <v>157</v>
      </c>
      <c r="N4" s="5">
        <v>0.59869996293199113</v>
      </c>
      <c r="O4" s="5">
        <v>1</v>
      </c>
      <c r="P4" s="5"/>
      <c r="Q4" s="5"/>
      <c r="R4" s="5"/>
      <c r="S4" s="5"/>
      <c r="T4" s="5"/>
      <c r="U4" s="5"/>
      <c r="V4" s="5"/>
      <c r="W4" s="5"/>
    </row>
    <row r="5" spans="1:23" x14ac:dyDescent="0.3">
      <c r="A5">
        <v>4</v>
      </c>
      <c r="B5" s="33">
        <v>3.2</v>
      </c>
      <c r="C5" s="33">
        <v>2.8</v>
      </c>
      <c r="D5" s="33">
        <v>2.2999999999999998</v>
      </c>
      <c r="E5" s="33">
        <v>2.5499999999999998</v>
      </c>
      <c r="F5" s="33">
        <v>2.5916666666666668</v>
      </c>
      <c r="G5" s="33">
        <v>2.3183333333333334</v>
      </c>
      <c r="H5" s="33">
        <v>2.6636666666666668</v>
      </c>
      <c r="I5" s="33">
        <v>3</v>
      </c>
      <c r="J5" s="33">
        <v>2.8333333333333335</v>
      </c>
      <c r="K5" s="34">
        <v>2.6388888888888888</v>
      </c>
      <c r="M5" s="5" t="s">
        <v>158</v>
      </c>
      <c r="N5" s="5">
        <v>0.57422442278347485</v>
      </c>
      <c r="O5" s="5">
        <v>0.66340576861162837</v>
      </c>
      <c r="P5" s="5">
        <v>1</v>
      </c>
      <c r="Q5" s="5"/>
      <c r="R5" s="5"/>
      <c r="S5" s="5"/>
      <c r="T5" s="5"/>
      <c r="U5" s="5"/>
      <c r="V5" s="5"/>
      <c r="W5" s="5"/>
    </row>
    <row r="6" spans="1:23" x14ac:dyDescent="0.3">
      <c r="A6">
        <v>5</v>
      </c>
      <c r="B6" s="31">
        <v>2.2000000000000002</v>
      </c>
      <c r="C6" s="31">
        <v>1.4</v>
      </c>
      <c r="D6" s="31">
        <v>2.0666666666666664</v>
      </c>
      <c r="E6" s="31">
        <v>1.5111111111111111</v>
      </c>
      <c r="F6" s="31">
        <v>1.2518518518518518</v>
      </c>
      <c r="G6" s="31">
        <v>2.0503703703703704</v>
      </c>
      <c r="H6" s="31">
        <v>1.610074074074074</v>
      </c>
      <c r="I6" s="31">
        <v>1.8</v>
      </c>
      <c r="J6" s="31">
        <v>2.2999999999999998</v>
      </c>
      <c r="K6" s="32">
        <v>1.8833333333333333</v>
      </c>
      <c r="M6" s="5" t="s">
        <v>159</v>
      </c>
      <c r="N6" s="5">
        <v>0.59154043814382185</v>
      </c>
      <c r="O6" s="5">
        <v>0.78630556294091603</v>
      </c>
      <c r="P6" s="5">
        <v>0.80152602737380374</v>
      </c>
      <c r="Q6" s="5">
        <v>1</v>
      </c>
      <c r="R6" s="5"/>
      <c r="S6" s="5"/>
      <c r="T6" s="5"/>
      <c r="U6" s="5"/>
      <c r="V6" s="5"/>
      <c r="W6" s="5"/>
    </row>
    <row r="7" spans="1:23" x14ac:dyDescent="0.3">
      <c r="A7">
        <v>6</v>
      </c>
      <c r="B7" s="33">
        <v>2.6</v>
      </c>
      <c r="C7" s="33">
        <v>3.4</v>
      </c>
      <c r="D7" s="33">
        <v>3.4</v>
      </c>
      <c r="E7" s="33">
        <v>2.9</v>
      </c>
      <c r="F7" s="33">
        <v>3.8166666666666664</v>
      </c>
      <c r="G7" s="33">
        <v>3.3633333333333333</v>
      </c>
      <c r="H7" s="33">
        <v>3.8726666666666665</v>
      </c>
      <c r="I7" s="33">
        <v>3.4</v>
      </c>
      <c r="J7" s="33">
        <v>2.2333333333333334</v>
      </c>
      <c r="K7" s="34">
        <v>3.3722222222222222</v>
      </c>
      <c r="M7" s="5" t="s">
        <v>160</v>
      </c>
      <c r="N7" s="5">
        <v>0.5275072017293686</v>
      </c>
      <c r="O7" s="5">
        <v>0.73019499049030623</v>
      </c>
      <c r="P7" s="5">
        <v>0.6205828724230732</v>
      </c>
      <c r="Q7" s="5">
        <v>0.8305300485458077</v>
      </c>
      <c r="R7" s="5">
        <v>1</v>
      </c>
      <c r="S7" s="5"/>
      <c r="T7" s="5"/>
      <c r="U7" s="5"/>
      <c r="V7" s="5"/>
      <c r="W7" s="5"/>
    </row>
    <row r="8" spans="1:23" x14ac:dyDescent="0.3">
      <c r="A8">
        <v>7</v>
      </c>
      <c r="B8" s="31">
        <v>3.8</v>
      </c>
      <c r="C8" s="31">
        <v>4.2</v>
      </c>
      <c r="D8" s="31">
        <v>3.3666666666666667</v>
      </c>
      <c r="E8" s="31">
        <v>4.2277777777777779</v>
      </c>
      <c r="F8" s="31">
        <v>3.3712962962962965</v>
      </c>
      <c r="G8" s="31">
        <v>3.6742592592592591</v>
      </c>
      <c r="H8" s="31">
        <v>4.7348518518518521</v>
      </c>
      <c r="I8" s="31">
        <v>4.2</v>
      </c>
      <c r="J8" s="31">
        <v>3.3666666666666667</v>
      </c>
      <c r="K8" s="32">
        <v>3.2277777777777779</v>
      </c>
      <c r="M8" s="5" t="s">
        <v>161</v>
      </c>
      <c r="N8" s="5">
        <v>0.4476548881465392</v>
      </c>
      <c r="O8" s="5">
        <v>0.56975730516019996</v>
      </c>
      <c r="P8" s="5">
        <v>0.49055937707853092</v>
      </c>
      <c r="Q8" s="5">
        <v>0.68181395682299839</v>
      </c>
      <c r="R8" s="5">
        <v>0.80693561552278958</v>
      </c>
      <c r="S8" s="5">
        <v>1</v>
      </c>
      <c r="T8" s="5"/>
      <c r="U8" s="5"/>
      <c r="V8" s="5"/>
      <c r="W8" s="5"/>
    </row>
    <row r="9" spans="1:23" x14ac:dyDescent="0.3">
      <c r="A9">
        <v>8</v>
      </c>
      <c r="B9" s="33">
        <v>3</v>
      </c>
      <c r="C9" s="33">
        <v>2</v>
      </c>
      <c r="D9" s="33">
        <v>2</v>
      </c>
      <c r="E9" s="33">
        <v>3.4</v>
      </c>
      <c r="F9" s="33">
        <v>3.9</v>
      </c>
      <c r="G9" s="33">
        <v>3.78</v>
      </c>
      <c r="H9" s="33">
        <v>3.956</v>
      </c>
      <c r="I9" s="33">
        <v>3.6</v>
      </c>
      <c r="J9" s="33">
        <v>3.1</v>
      </c>
      <c r="K9" s="34">
        <v>3.85</v>
      </c>
      <c r="M9" s="5" t="s">
        <v>162</v>
      </c>
      <c r="N9" s="5">
        <v>0.49945172943226468</v>
      </c>
      <c r="O9" s="5">
        <v>0.69032822093567681</v>
      </c>
      <c r="P9" s="5">
        <v>0.5855014811906657</v>
      </c>
      <c r="Q9" s="5">
        <v>0.7564122866761207</v>
      </c>
      <c r="R9" s="5">
        <v>0.68926588507152975</v>
      </c>
      <c r="S9" s="5">
        <v>0.72479944531220741</v>
      </c>
      <c r="T9" s="5">
        <v>1</v>
      </c>
      <c r="U9" s="5"/>
      <c r="V9" s="5"/>
      <c r="W9" s="5"/>
    </row>
    <row r="10" spans="1:23" x14ac:dyDescent="0.3">
      <c r="A10">
        <v>9</v>
      </c>
      <c r="B10" s="31">
        <v>2</v>
      </c>
      <c r="C10" s="31">
        <v>2.4</v>
      </c>
      <c r="D10" s="31">
        <v>2.7333333333333334</v>
      </c>
      <c r="E10" s="31">
        <v>2.7888888888888888</v>
      </c>
      <c r="F10" s="31">
        <v>2.2981481481481483</v>
      </c>
      <c r="G10" s="31">
        <v>2.0596296296296295</v>
      </c>
      <c r="H10" s="31">
        <v>2.2119259259259261</v>
      </c>
      <c r="I10" s="31">
        <v>2.2000000000000002</v>
      </c>
      <c r="J10" s="31">
        <v>3.0333333333333332</v>
      </c>
      <c r="K10" s="32">
        <v>2.338888888888889</v>
      </c>
      <c r="M10" s="5" t="s">
        <v>163</v>
      </c>
      <c r="N10" s="5">
        <v>0.42997369322559142</v>
      </c>
      <c r="O10" s="5">
        <v>0.73278028054281763</v>
      </c>
      <c r="P10" s="5">
        <v>0.5914758007225519</v>
      </c>
      <c r="Q10" s="5">
        <v>0.81494297702876395</v>
      </c>
      <c r="R10" s="5">
        <v>0.8357320551272972</v>
      </c>
      <c r="S10" s="5">
        <v>0.6550178112882451</v>
      </c>
      <c r="T10" s="5">
        <v>0.76306755747606159</v>
      </c>
      <c r="U10" s="5">
        <v>1</v>
      </c>
      <c r="V10" s="5"/>
      <c r="W10" s="5"/>
    </row>
    <row r="11" spans="1:23" x14ac:dyDescent="0.3">
      <c r="A11">
        <v>10</v>
      </c>
      <c r="B11" s="33">
        <v>3.4</v>
      </c>
      <c r="C11" s="33">
        <v>3</v>
      </c>
      <c r="D11" s="33">
        <v>2.8</v>
      </c>
      <c r="E11" s="33">
        <v>3.1333333333333333</v>
      </c>
      <c r="F11" s="33">
        <v>3.0222222222222221</v>
      </c>
      <c r="G11" s="33">
        <v>2.6044444444444443</v>
      </c>
      <c r="H11" s="33">
        <v>3.520888888888889</v>
      </c>
      <c r="I11" s="33">
        <v>2.6</v>
      </c>
      <c r="J11" s="33">
        <v>2.2666666666666666</v>
      </c>
      <c r="K11" s="34">
        <v>3.0444444444444443</v>
      </c>
      <c r="M11" s="5" t="s">
        <v>164</v>
      </c>
      <c r="N11" s="5">
        <v>0.15814225926568901</v>
      </c>
      <c r="O11" s="5">
        <v>0.2928104763206304</v>
      </c>
      <c r="P11" s="5">
        <v>0.52257422664250386</v>
      </c>
      <c r="Q11" s="5">
        <v>0.51990085426291011</v>
      </c>
      <c r="R11" s="5">
        <v>0.45974835311492235</v>
      </c>
      <c r="S11" s="5">
        <v>0.35317839097300735</v>
      </c>
      <c r="T11" s="5">
        <v>0.30347307598092371</v>
      </c>
      <c r="U11" s="5">
        <v>0.47319929266498656</v>
      </c>
      <c r="V11" s="5">
        <v>1</v>
      </c>
      <c r="W11" s="5"/>
    </row>
    <row r="12" spans="1:23" ht="15" thickBot="1" x14ac:dyDescent="0.35">
      <c r="A12">
        <v>11</v>
      </c>
      <c r="B12" s="31">
        <v>5</v>
      </c>
      <c r="C12" s="31">
        <v>4.2</v>
      </c>
      <c r="D12" s="31">
        <v>4.8666666666666671</v>
      </c>
      <c r="E12" s="31">
        <v>4.9777777777777779</v>
      </c>
      <c r="F12" s="31">
        <v>4.996296296296296</v>
      </c>
      <c r="G12" s="31">
        <v>4.9992592592592588</v>
      </c>
      <c r="H12" s="31">
        <v>4.9998518518518518</v>
      </c>
      <c r="I12" s="31">
        <v>4.2</v>
      </c>
      <c r="J12" s="31">
        <v>3.5333333333333332</v>
      </c>
      <c r="K12" s="32">
        <v>4.7555555555555555</v>
      </c>
      <c r="M12" s="41" t="s">
        <v>165</v>
      </c>
      <c r="N12" s="41">
        <v>0.30956426096624207</v>
      </c>
      <c r="O12" s="41">
        <v>0.33642313860816975</v>
      </c>
      <c r="P12" s="41">
        <v>0.3561705608733054</v>
      </c>
      <c r="Q12" s="41">
        <v>0.47947233209289225</v>
      </c>
      <c r="R12" s="41">
        <v>0.65063288871125113</v>
      </c>
      <c r="S12" s="41">
        <v>0.66857485087457258</v>
      </c>
      <c r="T12" s="41">
        <v>0.40085605722242307</v>
      </c>
      <c r="U12" s="41">
        <v>0.42997540092030778</v>
      </c>
      <c r="V12" s="41">
        <v>0.62924185815951938</v>
      </c>
      <c r="W12" s="41">
        <v>1</v>
      </c>
    </row>
    <row r="13" spans="1:23" x14ac:dyDescent="0.3">
      <c r="A13">
        <v>12</v>
      </c>
      <c r="B13" s="33">
        <v>3.6</v>
      </c>
      <c r="C13" s="33">
        <v>2.8</v>
      </c>
      <c r="D13" s="33">
        <v>3.9666666666666668</v>
      </c>
      <c r="E13" s="33">
        <v>3.3277777777777779</v>
      </c>
      <c r="F13" s="33">
        <v>3.2212962962962965</v>
      </c>
      <c r="G13" s="33">
        <v>3.6442592592592593</v>
      </c>
      <c r="H13" s="33">
        <v>3.7288518518518519</v>
      </c>
      <c r="I13" s="33">
        <v>3</v>
      </c>
      <c r="J13" s="33">
        <v>2.6666666666666665</v>
      </c>
      <c r="K13" s="34">
        <v>2.7777777777777777</v>
      </c>
    </row>
    <row r="14" spans="1:23" x14ac:dyDescent="0.3">
      <c r="A14">
        <v>13</v>
      </c>
      <c r="B14" s="31">
        <v>3.4</v>
      </c>
      <c r="C14" s="31">
        <v>3</v>
      </c>
      <c r="D14" s="31">
        <v>3</v>
      </c>
      <c r="E14" s="31">
        <v>3</v>
      </c>
      <c r="F14" s="31">
        <v>3</v>
      </c>
      <c r="G14" s="31">
        <v>3</v>
      </c>
      <c r="H14" s="31">
        <v>3</v>
      </c>
      <c r="I14" s="31">
        <v>3</v>
      </c>
      <c r="J14" s="31">
        <v>3</v>
      </c>
      <c r="K14" s="32">
        <v>3</v>
      </c>
    </row>
    <row r="15" spans="1:23" x14ac:dyDescent="0.3">
      <c r="A15">
        <v>14</v>
      </c>
      <c r="B15" s="33">
        <v>2.4</v>
      </c>
      <c r="C15" s="33">
        <v>3.2</v>
      </c>
      <c r="D15" s="33">
        <v>2.7</v>
      </c>
      <c r="E15" s="33">
        <v>3.2833333333333332</v>
      </c>
      <c r="F15" s="33">
        <v>3.0472222222222221</v>
      </c>
      <c r="G15" s="33">
        <v>3.4094444444444445</v>
      </c>
      <c r="H15" s="33">
        <v>3.4818888888888888</v>
      </c>
      <c r="I15" s="33">
        <v>3.2</v>
      </c>
      <c r="J15" s="33">
        <v>2.5333333333333332</v>
      </c>
      <c r="K15" s="34">
        <v>3.088888888888889</v>
      </c>
    </row>
    <row r="16" spans="1:23" x14ac:dyDescent="0.3">
      <c r="A16">
        <v>15</v>
      </c>
      <c r="B16" s="31">
        <v>2.8</v>
      </c>
      <c r="C16" s="31">
        <v>2.4</v>
      </c>
      <c r="D16" s="31">
        <v>3.4</v>
      </c>
      <c r="E16" s="31">
        <v>3.4</v>
      </c>
      <c r="F16" s="31">
        <v>2.0666666666666664</v>
      </c>
      <c r="G16" s="31">
        <v>2.6133333333333333</v>
      </c>
      <c r="H16" s="31">
        <v>3.5226666666666668</v>
      </c>
      <c r="I16" s="31">
        <v>3</v>
      </c>
      <c r="J16" s="31">
        <v>3.5</v>
      </c>
      <c r="K16" s="32">
        <v>2.9166666666666665</v>
      </c>
    </row>
    <row r="17" spans="1:11" x14ac:dyDescent="0.3">
      <c r="A17">
        <v>16</v>
      </c>
      <c r="B17" s="33">
        <v>3.8</v>
      </c>
      <c r="C17" s="33">
        <v>3.4</v>
      </c>
      <c r="D17" s="33">
        <v>3.2333333333333334</v>
      </c>
      <c r="E17" s="33">
        <v>3.2055555555555557</v>
      </c>
      <c r="F17" s="33">
        <v>3.5342592592592594</v>
      </c>
      <c r="G17" s="33">
        <v>3.106851851851852</v>
      </c>
      <c r="H17" s="33">
        <v>3.8213703703703703</v>
      </c>
      <c r="I17" s="33">
        <v>3.6</v>
      </c>
      <c r="J17" s="33">
        <v>3.1</v>
      </c>
      <c r="K17" s="34">
        <v>2.6833333333333336</v>
      </c>
    </row>
    <row r="18" spans="1:11" x14ac:dyDescent="0.3">
      <c r="A18">
        <v>17</v>
      </c>
      <c r="B18" s="31">
        <v>2.8</v>
      </c>
      <c r="C18" s="31">
        <v>3.6</v>
      </c>
      <c r="D18" s="31">
        <v>2.7666666666666666</v>
      </c>
      <c r="E18" s="31">
        <v>3.1277777777777778</v>
      </c>
      <c r="F18" s="31">
        <v>2.6879629629629629</v>
      </c>
      <c r="G18" s="31">
        <v>2.9375925925925928</v>
      </c>
      <c r="H18" s="31">
        <v>3.5875185185185186</v>
      </c>
      <c r="I18" s="31">
        <v>2.8</v>
      </c>
      <c r="J18" s="31">
        <v>2.6333333333333333</v>
      </c>
      <c r="K18" s="32">
        <v>3.1055555555555556</v>
      </c>
    </row>
    <row r="19" spans="1:11" x14ac:dyDescent="0.3">
      <c r="A19">
        <v>18</v>
      </c>
      <c r="B19" s="33">
        <v>3</v>
      </c>
      <c r="C19" s="33">
        <v>1.4</v>
      </c>
      <c r="D19" s="33">
        <v>1.7333333333333334</v>
      </c>
      <c r="E19" s="33">
        <v>1.4555555555555555</v>
      </c>
      <c r="F19" s="33">
        <v>1.075925925925926</v>
      </c>
      <c r="G19" s="33">
        <v>2.2151851851851854</v>
      </c>
      <c r="H19" s="33">
        <v>2.8430370370370373</v>
      </c>
      <c r="I19" s="33">
        <v>1.4</v>
      </c>
      <c r="J19" s="33">
        <v>1.0666666666666667</v>
      </c>
      <c r="K19" s="34">
        <v>2.3444444444444446</v>
      </c>
    </row>
    <row r="20" spans="1:11" x14ac:dyDescent="0.3">
      <c r="A20">
        <v>19</v>
      </c>
      <c r="B20" s="31">
        <v>2.8</v>
      </c>
      <c r="C20" s="31">
        <v>3</v>
      </c>
      <c r="D20" s="31">
        <v>2</v>
      </c>
      <c r="E20" s="31">
        <v>3.333333333333333</v>
      </c>
      <c r="F20" s="31">
        <v>3.7222222222222223</v>
      </c>
      <c r="G20" s="31">
        <v>3.9444444444444446</v>
      </c>
      <c r="H20" s="31">
        <v>3.9888888888888889</v>
      </c>
      <c r="I20" s="31">
        <v>3.8</v>
      </c>
      <c r="J20" s="31">
        <v>2.2999999999999998</v>
      </c>
      <c r="K20" s="32">
        <v>3.2166666666666668</v>
      </c>
    </row>
    <row r="21" spans="1:11" x14ac:dyDescent="0.3">
      <c r="A21">
        <v>20</v>
      </c>
      <c r="B21" s="33">
        <v>4</v>
      </c>
      <c r="C21" s="33">
        <v>4</v>
      </c>
      <c r="D21" s="33">
        <v>3.6666666666666665</v>
      </c>
      <c r="E21" s="33">
        <v>3.9444444444444446</v>
      </c>
      <c r="F21" s="33">
        <v>4.1574074074074074</v>
      </c>
      <c r="G21" s="33">
        <v>4.0314814814814817</v>
      </c>
      <c r="H21" s="33">
        <v>4.0062962962962967</v>
      </c>
      <c r="I21" s="33">
        <v>4</v>
      </c>
      <c r="J21" s="33">
        <v>3.1666666666666665</v>
      </c>
      <c r="K21" s="34">
        <v>3.6944444444444446</v>
      </c>
    </row>
    <row r="22" spans="1:11" x14ac:dyDescent="0.3">
      <c r="A22">
        <v>21</v>
      </c>
      <c r="B22" s="31">
        <v>3</v>
      </c>
      <c r="C22" s="31">
        <v>2.6</v>
      </c>
      <c r="D22" s="31">
        <v>2.9333333333333336</v>
      </c>
      <c r="E22" s="31">
        <v>3.4888888888888889</v>
      </c>
      <c r="F22" s="31">
        <v>3.248148148148148</v>
      </c>
      <c r="G22" s="31">
        <v>3.2496296296296294</v>
      </c>
      <c r="H22" s="31">
        <v>2.4499259259259256</v>
      </c>
      <c r="I22" s="31">
        <v>2</v>
      </c>
      <c r="J22" s="31">
        <v>2.3333333333333335</v>
      </c>
      <c r="K22" s="32">
        <v>2.8888888888888888</v>
      </c>
    </row>
    <row r="23" spans="1:11" x14ac:dyDescent="0.3">
      <c r="A23">
        <v>22</v>
      </c>
      <c r="B23" s="33">
        <v>4</v>
      </c>
      <c r="C23" s="33">
        <v>3.8</v>
      </c>
      <c r="D23" s="33">
        <v>2.9666666666666668</v>
      </c>
      <c r="E23" s="33">
        <v>3.3277777777777779</v>
      </c>
      <c r="F23" s="33">
        <v>3.2212962962962965</v>
      </c>
      <c r="G23" s="33">
        <v>3.4442592592592591</v>
      </c>
      <c r="H23" s="33">
        <v>3.888851851851852</v>
      </c>
      <c r="I23" s="33">
        <v>3</v>
      </c>
      <c r="J23" s="33">
        <v>1.6666666666666667</v>
      </c>
      <c r="K23" s="34">
        <v>2.2777777777777777</v>
      </c>
    </row>
    <row r="24" spans="1:11" x14ac:dyDescent="0.3">
      <c r="A24">
        <v>23</v>
      </c>
      <c r="B24" s="31">
        <v>3.2</v>
      </c>
      <c r="C24" s="31">
        <v>4</v>
      </c>
      <c r="D24" s="31">
        <v>2.833333333333333</v>
      </c>
      <c r="E24" s="31">
        <v>3.1388888888888888</v>
      </c>
      <c r="F24" s="31">
        <v>3.0231481481481479</v>
      </c>
      <c r="G24" s="31">
        <v>3.6046296296296294</v>
      </c>
      <c r="H24" s="31">
        <v>3.5209259259259258</v>
      </c>
      <c r="I24" s="31">
        <v>3</v>
      </c>
      <c r="J24" s="31">
        <v>2.1666666666666665</v>
      </c>
      <c r="K24" s="32">
        <v>2.3611111111111112</v>
      </c>
    </row>
    <row r="25" spans="1:11" x14ac:dyDescent="0.3">
      <c r="A25">
        <v>24</v>
      </c>
      <c r="B25" s="33">
        <v>3.4</v>
      </c>
      <c r="C25" s="33">
        <v>2.4</v>
      </c>
      <c r="D25" s="33">
        <v>3.0666666666666664</v>
      </c>
      <c r="E25" s="33">
        <v>2.8444444444444446</v>
      </c>
      <c r="F25" s="33">
        <v>2.3074074074074074</v>
      </c>
      <c r="G25" s="33">
        <v>3.0614814814814815</v>
      </c>
      <c r="H25" s="33">
        <v>3.8122962962962963</v>
      </c>
      <c r="I25" s="33">
        <v>2</v>
      </c>
      <c r="J25" s="33">
        <v>2.6666666666666665</v>
      </c>
      <c r="K25" s="34">
        <v>2.2777777777777777</v>
      </c>
    </row>
    <row r="26" spans="1:11" x14ac:dyDescent="0.3">
      <c r="A26">
        <v>25</v>
      </c>
      <c r="B26" s="31">
        <v>3.2</v>
      </c>
      <c r="C26" s="31">
        <v>3.2</v>
      </c>
      <c r="D26" s="31">
        <v>3.3666666666666667</v>
      </c>
      <c r="E26" s="31">
        <v>3.5611111111111109</v>
      </c>
      <c r="F26" s="31">
        <v>2.9268518518518518</v>
      </c>
      <c r="G26" s="31">
        <v>2.9853703703703705</v>
      </c>
      <c r="H26" s="31">
        <v>3.5970740740740741</v>
      </c>
      <c r="I26" s="31">
        <v>3</v>
      </c>
      <c r="J26" s="31">
        <v>3.3333333333333335</v>
      </c>
      <c r="K26" s="32">
        <v>3.0555555555555554</v>
      </c>
    </row>
    <row r="27" spans="1:11" x14ac:dyDescent="0.3">
      <c r="A27">
        <v>26</v>
      </c>
      <c r="B27" s="33">
        <v>3</v>
      </c>
      <c r="C27" s="33">
        <v>3.8</v>
      </c>
      <c r="D27" s="33">
        <v>3.6333333333333333</v>
      </c>
      <c r="E27" s="33">
        <v>3.7722222222222221</v>
      </c>
      <c r="F27" s="33">
        <v>3.462037037037037</v>
      </c>
      <c r="G27" s="33">
        <v>3.2924074074074072</v>
      </c>
      <c r="H27" s="33">
        <v>4.6584814814814814</v>
      </c>
      <c r="I27" s="33">
        <v>3.2</v>
      </c>
      <c r="J27" s="33">
        <v>3.5333333333333332</v>
      </c>
      <c r="K27" s="34">
        <v>3.2555555555555555</v>
      </c>
    </row>
    <row r="28" spans="1:11" x14ac:dyDescent="0.3">
      <c r="A28">
        <v>27</v>
      </c>
      <c r="B28" s="31">
        <v>3.6</v>
      </c>
      <c r="C28" s="31">
        <v>3.6</v>
      </c>
      <c r="D28" s="31">
        <v>4.4333333333333336</v>
      </c>
      <c r="E28" s="31">
        <v>4.4055555555555559</v>
      </c>
      <c r="F28" s="31">
        <v>3.9009259259259261</v>
      </c>
      <c r="G28" s="31">
        <v>3.3801851851851854</v>
      </c>
      <c r="H28" s="31">
        <v>4.4760370370370373</v>
      </c>
      <c r="I28" s="31">
        <v>4.5</v>
      </c>
      <c r="J28" s="31">
        <v>3.5833333333333335</v>
      </c>
      <c r="K28" s="32">
        <v>2.5972222222222223</v>
      </c>
    </row>
    <row r="29" spans="1:11" x14ac:dyDescent="0.3">
      <c r="A29">
        <v>28</v>
      </c>
      <c r="B29" s="33">
        <v>3.8</v>
      </c>
      <c r="C29" s="33">
        <v>3.4</v>
      </c>
      <c r="D29" s="33">
        <v>2.5666666666666664</v>
      </c>
      <c r="E29" s="33">
        <v>2.9277777777777776</v>
      </c>
      <c r="F29" s="33">
        <v>2.8212962962962962</v>
      </c>
      <c r="G29" s="33">
        <v>3.1642592592592593</v>
      </c>
      <c r="H29" s="33">
        <v>3.832851851851852</v>
      </c>
      <c r="I29" s="33">
        <v>2.8</v>
      </c>
      <c r="J29" s="33">
        <v>2.4666666666666668</v>
      </c>
      <c r="K29" s="34">
        <v>3.0777777777777779</v>
      </c>
    </row>
    <row r="30" spans="1:11" x14ac:dyDescent="0.3">
      <c r="A30">
        <v>29</v>
      </c>
      <c r="B30" s="31">
        <v>2.4</v>
      </c>
      <c r="C30" s="31">
        <v>3.2</v>
      </c>
      <c r="D30" s="31">
        <v>3.3666666666666667</v>
      </c>
      <c r="E30" s="31">
        <v>3.5611111111111109</v>
      </c>
      <c r="F30" s="31">
        <v>3.4268518518518518</v>
      </c>
      <c r="G30" s="31">
        <v>3.2853703703703703</v>
      </c>
      <c r="H30" s="31">
        <v>3.8570740740740739</v>
      </c>
      <c r="I30" s="31">
        <v>3.6</v>
      </c>
      <c r="J30" s="31">
        <v>2.7666666666666666</v>
      </c>
      <c r="K30" s="32">
        <v>3.2944444444444443</v>
      </c>
    </row>
    <row r="31" spans="1:11" x14ac:dyDescent="0.3">
      <c r="A31">
        <v>30</v>
      </c>
      <c r="B31" s="33">
        <v>2.2000000000000002</v>
      </c>
      <c r="C31" s="33">
        <v>3.2</v>
      </c>
      <c r="D31" s="33">
        <v>3.0333333333333332</v>
      </c>
      <c r="E31" s="33">
        <v>3.338888888888889</v>
      </c>
      <c r="F31" s="33">
        <v>3.8898148148148151</v>
      </c>
      <c r="G31" s="33">
        <v>3.9779629629629629</v>
      </c>
      <c r="H31" s="33">
        <v>4.1955925925925923</v>
      </c>
      <c r="I31" s="33">
        <v>4</v>
      </c>
      <c r="J31" s="33">
        <v>3.5</v>
      </c>
      <c r="K31" s="34">
        <v>3.4166666666666665</v>
      </c>
    </row>
    <row r="35" spans="1:13" x14ac:dyDescent="0.3">
      <c r="A35" t="s">
        <v>0</v>
      </c>
      <c r="B35" s="22" t="s">
        <v>188</v>
      </c>
      <c r="C35" s="22" t="s">
        <v>179</v>
      </c>
      <c r="D35" s="22" t="s">
        <v>186</v>
      </c>
      <c r="E35" s="23" t="s">
        <v>187</v>
      </c>
      <c r="F35" s="22" t="s">
        <v>180</v>
      </c>
      <c r="H35" t="s">
        <v>190</v>
      </c>
    </row>
    <row r="36" spans="1:13" x14ac:dyDescent="0.3">
      <c r="A36">
        <v>1</v>
      </c>
      <c r="B36" s="31">
        <v>4</v>
      </c>
      <c r="C36" s="31">
        <v>4</v>
      </c>
      <c r="D36" s="31">
        <v>1.8666666666666667</v>
      </c>
      <c r="E36" s="32">
        <v>1.8111111111111111</v>
      </c>
      <c r="F36" s="31">
        <v>3.3333333333333335</v>
      </c>
    </row>
    <row r="37" spans="1:13" ht="15" thickBot="1" x14ac:dyDescent="0.35">
      <c r="A37">
        <v>2</v>
      </c>
      <c r="B37" s="33">
        <v>1.8</v>
      </c>
      <c r="C37" s="33">
        <v>2</v>
      </c>
      <c r="D37" s="33">
        <v>1.4</v>
      </c>
      <c r="E37" s="34">
        <v>1.2333333333333334</v>
      </c>
      <c r="F37" s="33">
        <v>2</v>
      </c>
      <c r="H37" s="50" t="s">
        <v>217</v>
      </c>
      <c r="I37" s="50"/>
    </row>
    <row r="38" spans="1:13" x14ac:dyDescent="0.3">
      <c r="A38">
        <v>3</v>
      </c>
      <c r="B38" s="31">
        <v>3.6</v>
      </c>
      <c r="C38" s="31">
        <v>3.8</v>
      </c>
      <c r="D38" s="31">
        <v>1.7999999999999998</v>
      </c>
      <c r="E38" s="32">
        <v>1.8</v>
      </c>
      <c r="F38" s="31">
        <v>3.8</v>
      </c>
      <c r="H38" t="s">
        <v>191</v>
      </c>
      <c r="I38" s="37">
        <v>0.68556484347056645</v>
      </c>
    </row>
    <row r="39" spans="1:13" x14ac:dyDescent="0.3">
      <c r="A39">
        <v>4</v>
      </c>
      <c r="B39" s="33">
        <v>3.2</v>
      </c>
      <c r="C39" s="33">
        <v>2.8</v>
      </c>
      <c r="D39" s="33">
        <v>2.8333333333333335</v>
      </c>
      <c r="E39" s="34">
        <v>2.6388888888888888</v>
      </c>
      <c r="F39" s="33">
        <v>2.2999999999999998</v>
      </c>
      <c r="H39" t="s">
        <v>192</v>
      </c>
      <c r="I39" s="37">
        <v>0.46999915460282221</v>
      </c>
    </row>
    <row r="40" spans="1:13" x14ac:dyDescent="0.3">
      <c r="A40">
        <v>5</v>
      </c>
      <c r="B40" s="31">
        <v>2.2000000000000002</v>
      </c>
      <c r="C40" s="31">
        <v>1.4</v>
      </c>
      <c r="D40" s="31">
        <v>2.2999999999999998</v>
      </c>
      <c r="E40" s="32">
        <v>1.8833333333333333</v>
      </c>
      <c r="F40" s="31">
        <v>2.0666666666666664</v>
      </c>
      <c r="H40" t="s">
        <v>193</v>
      </c>
      <c r="I40" s="37">
        <v>0.38519901933927381</v>
      </c>
    </row>
    <row r="41" spans="1:13" x14ac:dyDescent="0.3">
      <c r="A41">
        <v>6</v>
      </c>
      <c r="B41" s="33">
        <v>2.6</v>
      </c>
      <c r="C41" s="33">
        <v>3.4</v>
      </c>
      <c r="D41" s="33">
        <v>2.2333333333333334</v>
      </c>
      <c r="E41" s="34">
        <v>3.3722222222222222</v>
      </c>
      <c r="F41" s="33">
        <v>3.4</v>
      </c>
      <c r="H41" t="s">
        <v>194</v>
      </c>
      <c r="I41" s="37">
        <v>0.55418212097903152</v>
      </c>
    </row>
    <row r="42" spans="1:13" ht="15" thickBot="1" x14ac:dyDescent="0.35">
      <c r="A42">
        <v>7</v>
      </c>
      <c r="B42" s="31">
        <v>3.8</v>
      </c>
      <c r="C42" s="31">
        <v>4.2</v>
      </c>
      <c r="D42" s="31">
        <v>3.3666666666666667</v>
      </c>
      <c r="E42" s="32">
        <v>3.2277777777777779</v>
      </c>
      <c r="F42" s="31">
        <v>3.3666666666666667</v>
      </c>
      <c r="H42" s="35" t="s">
        <v>195</v>
      </c>
      <c r="I42" s="39">
        <v>30</v>
      </c>
    </row>
    <row r="43" spans="1:13" x14ac:dyDescent="0.3">
      <c r="A43">
        <v>8</v>
      </c>
      <c r="B43" s="33">
        <v>3</v>
      </c>
      <c r="C43" s="33">
        <v>2</v>
      </c>
      <c r="D43" s="33">
        <v>3.1</v>
      </c>
      <c r="E43" s="34">
        <v>3.85</v>
      </c>
      <c r="F43" s="33">
        <v>2</v>
      </c>
    </row>
    <row r="44" spans="1:13" ht="15" thickBot="1" x14ac:dyDescent="0.35">
      <c r="A44">
        <v>9</v>
      </c>
      <c r="B44" s="31">
        <v>2</v>
      </c>
      <c r="C44" s="31">
        <v>2.4</v>
      </c>
      <c r="D44" s="31">
        <v>3.0333333333333332</v>
      </c>
      <c r="E44" s="32">
        <v>2.338888888888889</v>
      </c>
      <c r="F44" s="31">
        <v>2.7333333333333334</v>
      </c>
      <c r="H44" s="50" t="s">
        <v>218</v>
      </c>
      <c r="I44" s="50"/>
    </row>
    <row r="45" spans="1:13" x14ac:dyDescent="0.3">
      <c r="A45">
        <v>10</v>
      </c>
      <c r="B45" s="33">
        <v>3.4</v>
      </c>
      <c r="C45" s="33">
        <v>3</v>
      </c>
      <c r="D45" s="33">
        <v>2.2666666666666666</v>
      </c>
      <c r="E45" s="34">
        <v>3.0444444444444443</v>
      </c>
      <c r="F45" s="33">
        <v>2.8</v>
      </c>
      <c r="H45" s="36"/>
      <c r="I45" s="36" t="s">
        <v>200</v>
      </c>
      <c r="J45" s="36" t="s">
        <v>201</v>
      </c>
      <c r="K45" s="36" t="s">
        <v>202</v>
      </c>
      <c r="L45" s="36" t="s">
        <v>203</v>
      </c>
      <c r="M45" s="36" t="s">
        <v>204</v>
      </c>
    </row>
    <row r="46" spans="1:13" x14ac:dyDescent="0.3">
      <c r="A46">
        <v>11</v>
      </c>
      <c r="B46" s="31">
        <v>5</v>
      </c>
      <c r="C46" s="31">
        <v>4.2</v>
      </c>
      <c r="D46" s="31">
        <v>3.5333333333333332</v>
      </c>
      <c r="E46" s="32">
        <v>4.7555555555555555</v>
      </c>
      <c r="F46" s="31">
        <v>4.8666666666666671</v>
      </c>
      <c r="H46" t="s">
        <v>196</v>
      </c>
      <c r="I46" s="30">
        <v>4</v>
      </c>
      <c r="J46" s="37">
        <v>6.8087210863462175</v>
      </c>
      <c r="K46" s="37">
        <v>1.7021802715865544</v>
      </c>
      <c r="L46" s="37">
        <v>5.5424340202067173</v>
      </c>
      <c r="M46" s="37">
        <v>2.4588331756916384E-3</v>
      </c>
    </row>
    <row r="47" spans="1:13" x14ac:dyDescent="0.3">
      <c r="A47">
        <v>12</v>
      </c>
      <c r="B47" s="33">
        <v>3.6</v>
      </c>
      <c r="C47" s="33">
        <v>2.8</v>
      </c>
      <c r="D47" s="33">
        <v>2.6666666666666665</v>
      </c>
      <c r="E47" s="34">
        <v>2.7777777777777777</v>
      </c>
      <c r="F47" s="33">
        <v>3.9666666666666668</v>
      </c>
      <c r="H47" t="s">
        <v>197</v>
      </c>
      <c r="I47" s="30">
        <v>25</v>
      </c>
      <c r="J47" s="37">
        <v>7.6779455803204488</v>
      </c>
      <c r="K47" s="37">
        <v>0.30711782321281794</v>
      </c>
      <c r="L47" s="37"/>
      <c r="M47" s="37"/>
    </row>
    <row r="48" spans="1:13" ht="15" thickBot="1" x14ac:dyDescent="0.35">
      <c r="A48">
        <v>13</v>
      </c>
      <c r="B48" s="31">
        <v>3.4</v>
      </c>
      <c r="C48" s="31">
        <v>3</v>
      </c>
      <c r="D48" s="31">
        <v>3</v>
      </c>
      <c r="E48" s="32">
        <v>3</v>
      </c>
      <c r="F48" s="31">
        <v>3</v>
      </c>
      <c r="H48" s="35" t="s">
        <v>198</v>
      </c>
      <c r="I48" s="39">
        <v>29</v>
      </c>
      <c r="J48" s="38">
        <v>14.486666666666666</v>
      </c>
      <c r="K48" s="38"/>
      <c r="L48" s="38"/>
      <c r="M48" s="38"/>
    </row>
    <row r="49" spans="1:16" x14ac:dyDescent="0.3">
      <c r="A49">
        <v>14</v>
      </c>
      <c r="B49" s="33">
        <v>2.4</v>
      </c>
      <c r="C49" s="33">
        <v>3.2</v>
      </c>
      <c r="D49" s="33">
        <v>2.5333333333333332</v>
      </c>
      <c r="E49" s="34">
        <v>3.088888888888889</v>
      </c>
      <c r="F49" s="33">
        <v>2.7</v>
      </c>
    </row>
    <row r="50" spans="1:16" ht="15" thickBot="1" x14ac:dyDescent="0.35">
      <c r="A50">
        <v>15</v>
      </c>
      <c r="B50" s="31">
        <v>2.8</v>
      </c>
      <c r="C50" s="31">
        <v>2.4</v>
      </c>
      <c r="D50" s="31">
        <v>3.5</v>
      </c>
      <c r="E50" s="32">
        <v>2.9166666666666665</v>
      </c>
      <c r="F50" s="31">
        <v>3.4</v>
      </c>
      <c r="H50" s="50" t="s">
        <v>219</v>
      </c>
      <c r="I50" s="50"/>
      <c r="J50" s="50"/>
    </row>
    <row r="51" spans="1:16" x14ac:dyDescent="0.3">
      <c r="A51">
        <v>16</v>
      </c>
      <c r="B51" s="33">
        <v>3.8</v>
      </c>
      <c r="C51" s="33">
        <v>3.4</v>
      </c>
      <c r="D51" s="33">
        <v>3.1</v>
      </c>
      <c r="E51" s="34">
        <v>2.6833333333333336</v>
      </c>
      <c r="F51" s="33">
        <v>3.2333333333333334</v>
      </c>
      <c r="H51" s="40" t="s">
        <v>216</v>
      </c>
      <c r="I51" s="40" t="s">
        <v>205</v>
      </c>
      <c r="J51" s="40" t="s">
        <v>194</v>
      </c>
      <c r="K51" s="36" t="s">
        <v>206</v>
      </c>
      <c r="L51" s="36" t="s">
        <v>207</v>
      </c>
      <c r="M51" s="36" t="s">
        <v>208</v>
      </c>
      <c r="N51" s="36" t="s">
        <v>209</v>
      </c>
      <c r="O51" s="36" t="s">
        <v>210</v>
      </c>
      <c r="P51" s="36" t="s">
        <v>211</v>
      </c>
    </row>
    <row r="52" spans="1:16" x14ac:dyDescent="0.3">
      <c r="A52">
        <v>17</v>
      </c>
      <c r="B52" s="31">
        <v>2.8</v>
      </c>
      <c r="C52" s="31">
        <v>3.6</v>
      </c>
      <c r="D52" s="31">
        <v>2.6333333333333333</v>
      </c>
      <c r="E52" s="32">
        <v>3.1055555555555556</v>
      </c>
      <c r="F52" s="31">
        <v>2.7666666666666666</v>
      </c>
      <c r="H52" t="s">
        <v>199</v>
      </c>
      <c r="I52" s="37">
        <v>1.134804199903154</v>
      </c>
      <c r="J52" s="37">
        <v>0.55070256639387827</v>
      </c>
      <c r="K52" s="37">
        <v>2.060648105081663</v>
      </c>
      <c r="L52" s="37">
        <v>4.9885845997120426E-2</v>
      </c>
      <c r="M52" s="37">
        <v>6.1103331477907474E-4</v>
      </c>
      <c r="N52" s="37">
        <v>2.2689973664915288</v>
      </c>
      <c r="O52" s="37">
        <v>6.1103331477907474E-4</v>
      </c>
      <c r="P52" s="37">
        <v>2.2689973664915288</v>
      </c>
    </row>
    <row r="53" spans="1:16" x14ac:dyDescent="0.3">
      <c r="A53">
        <v>18</v>
      </c>
      <c r="B53" s="33">
        <v>3</v>
      </c>
      <c r="C53" s="33">
        <v>1.4</v>
      </c>
      <c r="D53" s="33">
        <v>1.0666666666666667</v>
      </c>
      <c r="E53" s="34">
        <v>2.3444444444444446</v>
      </c>
      <c r="F53" s="33">
        <v>1.7333333333333334</v>
      </c>
      <c r="H53" t="s">
        <v>179</v>
      </c>
      <c r="I53" s="37">
        <v>0.28707278785186846</v>
      </c>
      <c r="J53" s="37">
        <v>0.18383043838361141</v>
      </c>
      <c r="K53" s="37">
        <v>1.5616172728305977</v>
      </c>
      <c r="L53" s="37">
        <v>0.13094927185384408</v>
      </c>
      <c r="M53" s="37">
        <v>-9.153308716871883E-2</v>
      </c>
      <c r="N53" s="37">
        <v>0.66567866287245581</v>
      </c>
      <c r="O53" s="37">
        <v>-9.153308716871883E-2</v>
      </c>
      <c r="P53" s="37">
        <v>0.66567866287245581</v>
      </c>
    </row>
    <row r="54" spans="1:16" x14ac:dyDescent="0.3">
      <c r="A54">
        <v>19</v>
      </c>
      <c r="B54" s="31">
        <v>2.8</v>
      </c>
      <c r="C54" s="31">
        <v>3</v>
      </c>
      <c r="D54" s="31">
        <v>2.2999999999999998</v>
      </c>
      <c r="E54" s="32">
        <v>3.2166666666666668</v>
      </c>
      <c r="F54" s="31">
        <v>2</v>
      </c>
      <c r="H54" t="s">
        <v>186</v>
      </c>
      <c r="I54" s="37">
        <v>-0.33942216902662792</v>
      </c>
      <c r="J54" s="37">
        <v>0.2199921043221707</v>
      </c>
      <c r="K54" s="37">
        <v>-1.5428834142590686</v>
      </c>
      <c r="L54" s="37">
        <v>0.13542376493141067</v>
      </c>
      <c r="M54" s="37">
        <v>-0.79250438917946386</v>
      </c>
      <c r="N54" s="37">
        <v>0.11366005112620803</v>
      </c>
      <c r="O54" s="37">
        <v>-0.79250438917946386</v>
      </c>
      <c r="P54" s="37">
        <v>0.11366005112620803</v>
      </c>
    </row>
    <row r="55" spans="1:16" x14ac:dyDescent="0.3">
      <c r="A55">
        <v>20</v>
      </c>
      <c r="B55" s="33">
        <v>4</v>
      </c>
      <c r="C55" s="33">
        <v>4</v>
      </c>
      <c r="D55" s="33">
        <v>3.1666666666666665</v>
      </c>
      <c r="E55" s="34">
        <v>3.6944444444444446</v>
      </c>
      <c r="F55" s="33">
        <v>3.6666666666666665</v>
      </c>
      <c r="H55" t="s">
        <v>187</v>
      </c>
      <c r="I55" s="37">
        <v>0.25159792691000071</v>
      </c>
      <c r="J55" s="37">
        <v>0.19499320478124774</v>
      </c>
      <c r="K55" s="37">
        <v>1.2902907421428083</v>
      </c>
      <c r="L55" s="37">
        <v>0.20875687907682489</v>
      </c>
      <c r="M55" s="37">
        <v>-0.14999809586189766</v>
      </c>
      <c r="N55" s="37">
        <v>0.65319394968189903</v>
      </c>
      <c r="O55" s="37">
        <v>-0.14999809586189766</v>
      </c>
      <c r="P55" s="37">
        <v>0.65319394968189903</v>
      </c>
    </row>
    <row r="56" spans="1:16" ht="15" thickBot="1" x14ac:dyDescent="0.35">
      <c r="A56">
        <v>21</v>
      </c>
      <c r="B56" s="31">
        <v>3</v>
      </c>
      <c r="C56" s="31">
        <v>2.6</v>
      </c>
      <c r="D56" s="31">
        <v>2.3333333333333335</v>
      </c>
      <c r="E56" s="32">
        <v>2.8888888888888888</v>
      </c>
      <c r="F56" s="31">
        <v>2.9333333333333336</v>
      </c>
      <c r="H56" s="35" t="s">
        <v>180</v>
      </c>
      <c r="I56" s="38">
        <v>0.43577173722166856</v>
      </c>
      <c r="J56" s="38">
        <v>0.21495273084021041</v>
      </c>
      <c r="K56" s="38">
        <v>2.0272910026233095</v>
      </c>
      <c r="L56" s="38">
        <v>5.3420731881113029E-2</v>
      </c>
      <c r="M56" s="38">
        <v>-6.931698963347499E-3</v>
      </c>
      <c r="N56" s="38">
        <v>0.87847517340668468</v>
      </c>
      <c r="O56" s="38">
        <v>-6.931698963347499E-3</v>
      </c>
      <c r="P56" s="38">
        <v>0.87847517340668468</v>
      </c>
    </row>
    <row r="57" spans="1:16" x14ac:dyDescent="0.3">
      <c r="A57">
        <v>22</v>
      </c>
      <c r="B57" s="33">
        <v>4</v>
      </c>
      <c r="C57" s="33">
        <v>3.8</v>
      </c>
      <c r="D57" s="33">
        <v>1.6666666666666667</v>
      </c>
      <c r="E57" s="34">
        <v>2.2777777777777777</v>
      </c>
      <c r="F57" s="33">
        <v>2.9666666666666668</v>
      </c>
    </row>
    <row r="58" spans="1:16" x14ac:dyDescent="0.3">
      <c r="A58">
        <v>23</v>
      </c>
      <c r="B58" s="31">
        <v>3.2</v>
      </c>
      <c r="C58" s="31">
        <v>4</v>
      </c>
      <c r="D58" s="31">
        <v>2.1666666666666665</v>
      </c>
      <c r="E58" s="32">
        <v>2.3611111111111112</v>
      </c>
      <c r="F58" s="31">
        <v>2.833333333333333</v>
      </c>
    </row>
    <row r="59" spans="1:16" x14ac:dyDescent="0.3">
      <c r="A59">
        <v>24</v>
      </c>
      <c r="B59" s="33">
        <v>3.4</v>
      </c>
      <c r="C59" s="33">
        <v>2.4</v>
      </c>
      <c r="D59" s="33">
        <v>2.6666666666666665</v>
      </c>
      <c r="E59" s="34">
        <v>2.2777777777777777</v>
      </c>
      <c r="F59" s="33">
        <v>3.0666666666666664</v>
      </c>
    </row>
    <row r="60" spans="1:16" ht="15" thickBot="1" x14ac:dyDescent="0.35">
      <c r="A60">
        <v>25</v>
      </c>
      <c r="B60" s="31">
        <v>3.2</v>
      </c>
      <c r="C60" s="31">
        <v>3.2</v>
      </c>
      <c r="D60" s="31">
        <v>3.3333333333333335</v>
      </c>
      <c r="E60" s="32">
        <v>3.0555555555555554</v>
      </c>
      <c r="F60" s="31">
        <v>3.3666666666666667</v>
      </c>
      <c r="H60" t="s">
        <v>212</v>
      </c>
    </row>
    <row r="61" spans="1:16" x14ac:dyDescent="0.3">
      <c r="A61">
        <v>26</v>
      </c>
      <c r="B61" s="33">
        <v>3</v>
      </c>
      <c r="C61" s="33">
        <v>3.8</v>
      </c>
      <c r="D61" s="33">
        <v>3.5333333333333332</v>
      </c>
      <c r="E61" s="34">
        <v>3.2555555555555555</v>
      </c>
      <c r="F61" s="33">
        <v>3.6333333333333333</v>
      </c>
      <c r="H61" s="36" t="s">
        <v>213</v>
      </c>
      <c r="I61" s="36" t="s">
        <v>214</v>
      </c>
      <c r="J61" s="36" t="s">
        <v>215</v>
      </c>
    </row>
    <row r="62" spans="1:16" x14ac:dyDescent="0.3">
      <c r="A62">
        <v>27</v>
      </c>
      <c r="B62" s="31">
        <v>3.6</v>
      </c>
      <c r="C62" s="31">
        <v>3.6</v>
      </c>
      <c r="D62" s="31">
        <v>3.5833333333333335</v>
      </c>
      <c r="E62" s="32">
        <v>2.5972222222222223</v>
      </c>
      <c r="F62" s="31">
        <v>4.4333333333333336</v>
      </c>
      <c r="H62">
        <v>1</v>
      </c>
      <c r="I62">
        <v>3.5577515608257078</v>
      </c>
      <c r="J62">
        <v>0.44224843917429224</v>
      </c>
    </row>
    <row r="63" spans="1:16" x14ac:dyDescent="0.3">
      <c r="A63">
        <v>28</v>
      </c>
      <c r="B63" s="33">
        <v>3.8</v>
      </c>
      <c r="C63" s="33">
        <v>3.4</v>
      </c>
      <c r="D63" s="33">
        <v>2.4666666666666668</v>
      </c>
      <c r="E63" s="34">
        <v>3.0777777777777779</v>
      </c>
      <c r="F63" s="33">
        <v>2.5666666666666664</v>
      </c>
      <c r="H63">
        <v>2</v>
      </c>
      <c r="I63">
        <v>2.4156063232686162</v>
      </c>
      <c r="J63">
        <v>-0.6156063232686162</v>
      </c>
    </row>
    <row r="64" spans="1:16" x14ac:dyDescent="0.3">
      <c r="A64">
        <v>29</v>
      </c>
      <c r="B64" s="31">
        <v>2.4</v>
      </c>
      <c r="C64" s="31">
        <v>3.2</v>
      </c>
      <c r="D64" s="31">
        <v>2.7666666666666666</v>
      </c>
      <c r="E64" s="32">
        <v>3.2944444444444443</v>
      </c>
      <c r="F64" s="31">
        <v>3.3666666666666667</v>
      </c>
      <c r="H64">
        <v>3</v>
      </c>
      <c r="I64">
        <v>3.7235297593726662</v>
      </c>
      <c r="J64">
        <v>-0.12352975937266608</v>
      </c>
    </row>
    <row r="65" spans="1:10" x14ac:dyDescent="0.3">
      <c r="A65">
        <v>30</v>
      </c>
      <c r="B65" s="33">
        <v>2.2000000000000002</v>
      </c>
      <c r="C65" s="33">
        <v>3.2</v>
      </c>
      <c r="D65" s="33">
        <v>3.5</v>
      </c>
      <c r="E65" s="34">
        <v>3.4166666666666665</v>
      </c>
      <c r="F65" s="33">
        <v>3.0333333333333332</v>
      </c>
      <c r="H65">
        <v>4</v>
      </c>
      <c r="I65">
        <v>2.6431258297130569</v>
      </c>
      <c r="J65">
        <v>0.5568741702869433</v>
      </c>
    </row>
    <row r="66" spans="1:10" x14ac:dyDescent="0.3">
      <c r="H66">
        <v>5</v>
      </c>
      <c r="I66">
        <v>2.1304728000731417</v>
      </c>
      <c r="J66">
        <v>6.9527199926858518E-2</v>
      </c>
    </row>
    <row r="67" spans="1:10" x14ac:dyDescent="0.3">
      <c r="H67">
        <v>6</v>
      </c>
      <c r="I67">
        <v>3.6828768611846572</v>
      </c>
      <c r="J67">
        <v>-1.0828768611846571</v>
      </c>
    </row>
    <row r="68" spans="1:10" x14ac:dyDescent="0.3">
      <c r="H68">
        <v>7</v>
      </c>
      <c r="I68">
        <v>3.4769889858860297</v>
      </c>
      <c r="J68">
        <v>0.32301101411397015</v>
      </c>
    </row>
    <row r="69" spans="1:10" x14ac:dyDescent="0.3">
      <c r="H69">
        <v>8</v>
      </c>
      <c r="I69">
        <v>2.496936544671184</v>
      </c>
      <c r="J69">
        <v>0.50306345532881602</v>
      </c>
    </row>
    <row r="70" spans="1:10" x14ac:dyDescent="0.3">
      <c r="H70">
        <v>9</v>
      </c>
      <c r="I70">
        <v>2.5737673221567072</v>
      </c>
      <c r="J70">
        <v>-0.57376732215670723</v>
      </c>
    </row>
    <row r="71" spans="1:10" x14ac:dyDescent="0.3">
      <c r="H71">
        <v>10</v>
      </c>
      <c r="I71">
        <v>3.2128024220339655</v>
      </c>
      <c r="J71">
        <v>0.18719757796603442</v>
      </c>
    </row>
    <row r="72" spans="1:10" x14ac:dyDescent="0.3">
      <c r="H72">
        <v>11</v>
      </c>
      <c r="I72">
        <v>4.4584619518821516</v>
      </c>
      <c r="J72">
        <v>0.54153804811784845</v>
      </c>
    </row>
    <row r="73" spans="1:10" x14ac:dyDescent="0.3">
      <c r="H73">
        <v>12</v>
      </c>
      <c r="I73">
        <v>3.4609265764355541</v>
      </c>
      <c r="J73">
        <v>0.13907342356444596</v>
      </c>
    </row>
    <row r="74" spans="1:10" x14ac:dyDescent="0.3">
      <c r="H74">
        <v>13</v>
      </c>
      <c r="I74">
        <v>3.0398650487738834</v>
      </c>
      <c r="J74">
        <v>0.3601349512261165</v>
      </c>
    </row>
    <row r="75" spans="1:10" x14ac:dyDescent="0.3">
      <c r="H75">
        <v>14</v>
      </c>
      <c r="I75">
        <v>3.1473093575599611</v>
      </c>
      <c r="J75">
        <v>-0.7473093575599612</v>
      </c>
    </row>
    <row r="76" spans="1:10" x14ac:dyDescent="0.3">
      <c r="H76">
        <v>15</v>
      </c>
      <c r="I76">
        <v>2.8512524925289489</v>
      </c>
      <c r="J76">
        <v>-5.1252492528949034E-2</v>
      </c>
    </row>
    <row r="77" spans="1:10" x14ac:dyDescent="0.3">
      <c r="H77">
        <v>16</v>
      </c>
      <c r="I77">
        <v>3.1427593421755238</v>
      </c>
      <c r="J77">
        <v>0.65724065782447605</v>
      </c>
    </row>
    <row r="78" spans="1:10" x14ac:dyDescent="0.3">
      <c r="H78">
        <v>17</v>
      </c>
      <c r="I78">
        <v>3.26144100372799</v>
      </c>
      <c r="J78">
        <v>-0.46144100372799013</v>
      </c>
    </row>
    <row r="79" spans="1:10" x14ac:dyDescent="0.3">
      <c r="H79">
        <v>18</v>
      </c>
      <c r="I79">
        <v>2.5198508290961494</v>
      </c>
      <c r="J79">
        <v>0.48014917090385056</v>
      </c>
    </row>
    <row r="80" spans="1:10" x14ac:dyDescent="0.3">
      <c r="H80">
        <v>19</v>
      </c>
      <c r="I80">
        <v>2.8962017140346878</v>
      </c>
      <c r="J80">
        <v>-9.6201714034688024E-2</v>
      </c>
    </row>
    <row r="81" spans="8:10" x14ac:dyDescent="0.3">
      <c r="H81">
        <v>20</v>
      </c>
      <c r="I81">
        <v>3.735602749178816</v>
      </c>
      <c r="J81">
        <v>0.26439725082118404</v>
      </c>
    </row>
    <row r="82" spans="8:10" x14ac:dyDescent="0.3">
      <c r="H82">
        <v>21</v>
      </c>
      <c r="I82">
        <v>3.0943106052905547</v>
      </c>
      <c r="J82">
        <v>-9.4310605290554683E-2</v>
      </c>
    </row>
    <row r="83" spans="8:10" x14ac:dyDescent="0.3">
      <c r="H83">
        <v>22</v>
      </c>
      <c r="I83">
        <v>3.5258508326373814</v>
      </c>
      <c r="J83">
        <v>0.47414916736261858</v>
      </c>
    </row>
    <row r="84" spans="8:10" x14ac:dyDescent="0.3">
      <c r="H84">
        <v>23</v>
      </c>
      <c r="I84">
        <v>3.3764179013073852</v>
      </c>
      <c r="J84">
        <v>-0.17641790130738499</v>
      </c>
    </row>
    <row r="85" spans="8:10" x14ac:dyDescent="0.3">
      <c r="H85">
        <v>24</v>
      </c>
      <c r="I85">
        <v>2.8281039343403043</v>
      </c>
      <c r="J85">
        <v>0.57189606565969564</v>
      </c>
    </row>
    <row r="86" spans="8:10" x14ac:dyDescent="0.3">
      <c r="H86">
        <v>25</v>
      </c>
      <c r="I86">
        <v>3.1578995162561041</v>
      </c>
      <c r="J86">
        <v>4.2100483743896078E-2</v>
      </c>
    </row>
    <row r="87" spans="8:10" x14ac:dyDescent="0.3">
      <c r="H87">
        <v>26</v>
      </c>
      <c r="I87">
        <v>3.4287841371363443</v>
      </c>
      <c r="J87">
        <v>-0.42878413713634433</v>
      </c>
    </row>
    <row r="88" spans="8:10" x14ac:dyDescent="0.3">
      <c r="H88">
        <v>27</v>
      </c>
      <c r="I88">
        <v>3.5373805590095575</v>
      </c>
      <c r="J88">
        <v>6.2619440990442587E-2</v>
      </c>
    </row>
    <row r="89" spans="8:10" x14ac:dyDescent="0.3">
      <c r="H89">
        <v>28</v>
      </c>
      <c r="I89">
        <v>3.166453628914665</v>
      </c>
      <c r="J89">
        <v>0.63354637108533485</v>
      </c>
    </row>
    <row r="90" spans="8:10" x14ac:dyDescent="0.3">
      <c r="H90">
        <v>29</v>
      </c>
      <c r="I90">
        <v>3.4103426945774711</v>
      </c>
      <c r="J90">
        <v>-1.0103426945774712</v>
      </c>
    </row>
    <row r="91" spans="8:10" ht="15" thickBot="1" x14ac:dyDescent="0.35">
      <c r="H91" s="35">
        <v>30</v>
      </c>
      <c r="I91" s="35">
        <v>3.0469267159508324</v>
      </c>
      <c r="J91" s="35">
        <v>-0.84692671595083224</v>
      </c>
    </row>
  </sheetData>
  <mergeCells count="4">
    <mergeCell ref="H37:I37"/>
    <mergeCell ref="H44:I44"/>
    <mergeCell ref="H50:J50"/>
    <mergeCell ref="M1:W1"/>
  </mergeCells>
  <conditionalFormatting sqref="M3:W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1041FB-9E1F-4B6F-BA34-7E88D70B223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Original Dataset</vt:lpstr>
      <vt:lpstr>Country Group</vt:lpstr>
      <vt:lpstr>New Clean</vt:lpstr>
      <vt:lpstr>Demographics</vt:lpstr>
      <vt:lpstr>Likert Visual</vt:lpstr>
      <vt:lpstr>Dataset for Regression</vt:lpstr>
      <vt:lpstr>percent</vt:lpstr>
      <vt:lpstr>Responses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sophia</dc:creator>
  <cp:keywords/>
  <dc:description/>
  <cp:lastModifiedBy>Nelson, Sophia M (PG/T - Surrey Business Schl)</cp:lastModifiedBy>
  <cp:revision/>
  <dcterms:created xsi:type="dcterms:W3CDTF">2025-11-23T13:22:41Z</dcterms:created>
  <dcterms:modified xsi:type="dcterms:W3CDTF">2026-01-04T20:24:13Z</dcterms:modified>
  <cp:category/>
  <cp:contentStatus/>
</cp:coreProperties>
</file>